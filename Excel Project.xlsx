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onmile\Documents\AXIA AFRICA DATA ANAYTICS\"/>
    </mc:Choice>
  </mc:AlternateContent>
  <xr:revisionPtr revIDLastSave="0" documentId="13_ncr:1_{58B9FF4D-61A2-4AEA-93AF-EB33ECBC65C1}" xr6:coauthVersionLast="47" xr6:coauthVersionMax="47" xr10:uidLastSave="{00000000-0000-0000-0000-000000000000}"/>
  <bookViews>
    <workbookView xWindow="-120" yWindow="-120" windowWidth="20730" windowHeight="11160" activeTab="2" xr2:uid="{30887D46-367C-4288-9E41-61614AB26287}"/>
  </bookViews>
  <sheets>
    <sheet name="Dashboard" sheetId="9" r:id="rId1"/>
    <sheet name="Pivot Table" sheetId="7" r:id="rId2"/>
    <sheet name="Cleaned Data" sheetId="3" r:id="rId3"/>
    <sheet name="Data" sheetId="2" r:id="rId4"/>
  </sheets>
  <definedNames>
    <definedName name="ExternalData_1" localSheetId="3" hidden="1">Data!$A$1:$R$337</definedName>
    <definedName name="ExternalData_2" localSheetId="2" hidden="1">'Cleaned Data'!$A$1:$R$337</definedName>
  </definedNames>
  <calcPr calcId="191029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Z55" i="9" l="1"/>
  <c r="A54" i="7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2D0ECE-9F55-4C46-9EAC-D24B1B581C33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  <connection id="2" xr16:uid="{2D4042B6-02CE-4794-B30B-35DB44A2299D}" keepAlive="1" name="Query - Sheet1 (2)" description="Connection to the 'Sheet1 (2)' query in the workbook." type="5" refreshedVersion="7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<sst xmlns="http://schemas.openxmlformats.org/spreadsheetml/2006/main" count="8147" uniqueCount="639">
  <si>
    <t>Distributor</t>
  </si>
  <si>
    <t>Customer Name</t>
  </si>
  <si>
    <t>City</t>
  </si>
  <si>
    <t>Country</t>
  </si>
  <si>
    <t>Latitude</t>
  </si>
  <si>
    <t>Longitude</t>
  </si>
  <si>
    <t>Channel</t>
  </si>
  <si>
    <t>Sub-channel</t>
  </si>
  <si>
    <t>Product Name</t>
  </si>
  <si>
    <t>Product Class</t>
  </si>
  <si>
    <t>Quantity</t>
  </si>
  <si>
    <t>Price</t>
  </si>
  <si>
    <t>Sales</t>
  </si>
  <si>
    <t>Month</t>
  </si>
  <si>
    <t>Year</t>
  </si>
  <si>
    <t>Name of Sales Rep</t>
  </si>
  <si>
    <t>Manager</t>
  </si>
  <si>
    <t>Sales Team</t>
  </si>
  <si>
    <t xml:space="preserve">Gottlieb-Cruickshank  </t>
  </si>
  <si>
    <t xml:space="preserve">Zieme, Doyle and Kunze </t>
  </si>
  <si>
    <t>Lublin</t>
  </si>
  <si>
    <t>Poland</t>
  </si>
  <si>
    <t>Hospital</t>
  </si>
  <si>
    <t>Private</t>
  </si>
  <si>
    <t>Topipizole</t>
  </si>
  <si>
    <t>Mood Stabilizers</t>
  </si>
  <si>
    <t>January</t>
  </si>
  <si>
    <t>Mary Gerrard</t>
  </si>
  <si>
    <t>Britanny Bold</t>
  </si>
  <si>
    <t>Delta</t>
  </si>
  <si>
    <t xml:space="preserve">Feest PLC </t>
  </si>
  <si>
    <t>Pharmacy</t>
  </si>
  <si>
    <t>Retail</t>
  </si>
  <si>
    <t>Choriotrisin</t>
  </si>
  <si>
    <t>Antibiotics</t>
  </si>
  <si>
    <t>Jessica Smith</t>
  </si>
  <si>
    <t>Medhurst-Beer Pharmaceutical Limited</t>
  </si>
  <si>
    <t>Rybnik</t>
  </si>
  <si>
    <t>Institution</t>
  </si>
  <si>
    <t>Acantaine</t>
  </si>
  <si>
    <t>Steve Pepple</t>
  </si>
  <si>
    <t>Tracy Banks</t>
  </si>
  <si>
    <t>Bravo</t>
  </si>
  <si>
    <t>Barton Ltd Pharma Plc</t>
  </si>
  <si>
    <t>Lioletine Refliruvax</t>
  </si>
  <si>
    <t>Analgesics</t>
  </si>
  <si>
    <t>Keeling LLC Pharmacy</t>
  </si>
  <si>
    <t>Olsztyn</t>
  </si>
  <si>
    <t>Oxymotroban Fexoformin</t>
  </si>
  <si>
    <t>February</t>
  </si>
  <si>
    <t>Anne Wu</t>
  </si>
  <si>
    <t>Runte-Marquardt Pharmaceutical Ltd</t>
  </si>
  <si>
    <t>Olecko</t>
  </si>
  <si>
    <t>Pazofenac</t>
  </si>
  <si>
    <t>September</t>
  </si>
  <si>
    <t>Thompson Crawford</t>
  </si>
  <si>
    <t>James Goodwill</t>
  </si>
  <si>
    <t>Alfa</t>
  </si>
  <si>
    <t xml:space="preserve">Blick, Pacocha and Schowalter </t>
  </si>
  <si>
    <t>Symbitrim</t>
  </si>
  <si>
    <t>Sheila Stones</t>
  </si>
  <si>
    <t>Leuschke PLC Pharmacy</t>
  </si>
  <si>
    <t>Morphizolid Tianalin</t>
  </si>
  <si>
    <t>Miller-Satterfield Pharma Plc</t>
  </si>
  <si>
    <t>Nidzica</t>
  </si>
  <si>
    <t>Lovapur</t>
  </si>
  <si>
    <t>Stella Given</t>
  </si>
  <si>
    <t>Alisha Cordwell</t>
  </si>
  <si>
    <t>Charlie</t>
  </si>
  <si>
    <t>Bashirian-Kassulke Pharma Plc</t>
  </si>
  <si>
    <t>Ampysin</t>
  </si>
  <si>
    <t>Morris Garcia</t>
  </si>
  <si>
    <t>Wolff Group Pharm</t>
  </si>
  <si>
    <t>Gubin</t>
  </si>
  <si>
    <t>Government</t>
  </si>
  <si>
    <t>Trazobalamin</t>
  </si>
  <si>
    <t>March</t>
  </si>
  <si>
    <t>Erica Jones</t>
  </si>
  <si>
    <t>Denesik, Walter and Beatty Pharma Plc</t>
  </si>
  <si>
    <t>Atrabicin Alkerotec</t>
  </si>
  <si>
    <t>Antiseptics</t>
  </si>
  <si>
    <t>Abigail Thompson</t>
  </si>
  <si>
    <t>Breitenberg-Kuhn Pharmacy</t>
  </si>
  <si>
    <t>Radom</t>
  </si>
  <si>
    <t>Exotropin Empizine</t>
  </si>
  <si>
    <t>December</t>
  </si>
  <si>
    <t>McClure, Zemlak and Dibbert Pharma Plc</t>
  </si>
  <si>
    <t>Afinitasol</t>
  </si>
  <si>
    <t>Antipiretics</t>
  </si>
  <si>
    <t>Block-Romaguera Pharmaceutical Limited</t>
  </si>
  <si>
    <t>Amavirase</t>
  </si>
  <si>
    <t>Hahn, Rutherford and Gislason Pharmaceutical Limited</t>
  </si>
  <si>
    <t>Neuropogen Empibax</t>
  </si>
  <si>
    <t xml:space="preserve">D'Amore and Sons </t>
  </si>
  <si>
    <t>Tracdomide</t>
  </si>
  <si>
    <t>Daniel Gates</t>
  </si>
  <si>
    <t>Koss Ltd Pharmaceutical Limited</t>
  </si>
  <si>
    <t>Novakyn Tracprox</t>
  </si>
  <si>
    <t xml:space="preserve">Fadel-West </t>
  </si>
  <si>
    <t>Paronium Atracustone</t>
  </si>
  <si>
    <t>Lindgren-Simonis Pharm</t>
  </si>
  <si>
    <t>Biskupiec</t>
  </si>
  <si>
    <t>Dantocept Ferurenone</t>
  </si>
  <si>
    <t>Alan Ray</t>
  </si>
  <si>
    <t>Spinka, Schowalter and Conn Pharmaceutical Limited</t>
  </si>
  <si>
    <t>Aciprex</t>
  </si>
  <si>
    <t>Jimmy Grey</t>
  </si>
  <si>
    <t>Will and Sons Pharma Plc</t>
  </si>
  <si>
    <t>Gniew</t>
  </si>
  <si>
    <t>Diaxolol</t>
  </si>
  <si>
    <t>Jakubowski Inc Pharmaceutical Limited</t>
  </si>
  <si>
    <t>Saprodeine Zanprosyn</t>
  </si>
  <si>
    <t>Schaden-Hirthe Pharmaceutical Ltd</t>
  </si>
  <si>
    <t>Magnemunex</t>
  </si>
  <si>
    <t>Mraz Group Pharmacy</t>
  </si>
  <si>
    <t>Nader-Gaylord Pharmaceutical Ltd</t>
  </si>
  <si>
    <t>Pitodomide</t>
  </si>
  <si>
    <t>Antimalarial</t>
  </si>
  <si>
    <t>Heidenreich Group Pharmaceutical Ltd</t>
  </si>
  <si>
    <t>Malaxolol Aeroprosyn</t>
  </si>
  <si>
    <t>Mante-Grady Pharm</t>
  </si>
  <si>
    <t>Tetratanyl</t>
  </si>
  <si>
    <t>Feest-Kshlerin Pharmaceutical Ltd</t>
  </si>
  <si>
    <t>Spiroderall</t>
  </si>
  <si>
    <t>July</t>
  </si>
  <si>
    <t>Formolovir Amanferon</t>
  </si>
  <si>
    <t>Leuschke, Waters and Schowalter Pharmaceutical Ltd</t>
  </si>
  <si>
    <t>Krapkowice</t>
  </si>
  <si>
    <t>Panpion</t>
  </si>
  <si>
    <t>Hirthe, Williamson and Macejkovic Pharma Plc</t>
  </si>
  <si>
    <t>Brzeg</t>
  </si>
  <si>
    <t>Dorzovorin Pentadarone</t>
  </si>
  <si>
    <t>Emard-O'Connell Pharmacy</t>
  </si>
  <si>
    <t>Zakopane</t>
  </si>
  <si>
    <t>Carter-Conn Pharma Plc</t>
  </si>
  <si>
    <t>Comzyme</t>
  </si>
  <si>
    <t>Heathcote, Grant and Witting Pharm</t>
  </si>
  <si>
    <t>Aldevac</t>
  </si>
  <si>
    <t>Boyer and Sons Pharmaceutical Limited</t>
  </si>
  <si>
    <t>Invisteride Diclomycin</t>
  </si>
  <si>
    <t>Rowe PLC Pharmaceutical Ltd</t>
  </si>
  <si>
    <t>Ergomethate</t>
  </si>
  <si>
    <t>McCullough LLC Pharma Plc</t>
  </si>
  <si>
    <t>Theopril</t>
  </si>
  <si>
    <t>Grimes, Jacobs and Durgan Pharm</t>
  </si>
  <si>
    <t>Balistreri, Torp and Gulgowski Pharmacy</t>
  </si>
  <si>
    <t>Ketastadil</t>
  </si>
  <si>
    <t>Will and Sons Pharmaceutical Limited</t>
  </si>
  <si>
    <t>Methiclotide</t>
  </si>
  <si>
    <t>April</t>
  </si>
  <si>
    <t>Osinski-Collins Pharmaceutical Ltd</t>
  </si>
  <si>
    <t>Parisian, Hagenes and Skiles Pharma Plc</t>
  </si>
  <si>
    <t>Ciechocinek</t>
  </si>
  <si>
    <t>Propratecan</t>
  </si>
  <si>
    <t>Lovavatol Azelavarix</t>
  </si>
  <si>
    <t>Symbiroban</t>
  </si>
  <si>
    <t>May</t>
  </si>
  <si>
    <t>Schmitt, Berge and Haley Pharma Plc</t>
  </si>
  <si>
    <t>Afaxacin</t>
  </si>
  <si>
    <t>Funk, Ratke and Heaney Pharmacy</t>
  </si>
  <si>
    <t>Prabuty</t>
  </si>
  <si>
    <t>Testant</t>
  </si>
  <si>
    <t>Walsh-Brown Pharmacy</t>
  </si>
  <si>
    <t>Temasone Thiobucil</t>
  </si>
  <si>
    <t>Schowalter, Runolfsson and VonRueden Pharmaceutical Ltd</t>
  </si>
  <si>
    <t>Propralamide Dexlanzolam</t>
  </si>
  <si>
    <t>Beahan, Littel and Ondricka Pharmacy</t>
  </si>
  <si>
    <t>Abobozolid</t>
  </si>
  <si>
    <t>Veum-Kerluke Pharmacy</t>
  </si>
  <si>
    <t>Choriogestrel</t>
  </si>
  <si>
    <t>Factofribrate</t>
  </si>
  <si>
    <t>Doyle-Tillman Pharmaceutical Ltd</t>
  </si>
  <si>
    <t>Sanctumine</t>
  </si>
  <si>
    <t>Ondricka Ltd Pharmacy</t>
  </si>
  <si>
    <t>Epzipitant</t>
  </si>
  <si>
    <t>Raynor-Graham Pharmaceutical Limited</t>
  </si>
  <si>
    <t xml:space="preserve">Koss-Beier </t>
  </si>
  <si>
    <t>Johnson, Friesen and Torphy Pharma Plc</t>
  </si>
  <si>
    <t>Gryfino</t>
  </si>
  <si>
    <t>Relenstrel Exurabine</t>
  </si>
  <si>
    <t>Koch-Osinski Pharm</t>
  </si>
  <si>
    <t>Sandomierz</t>
  </si>
  <si>
    <t>Schaefer LLC Pharmacy</t>
  </si>
  <si>
    <t>Funk and Sons Pharmaceutical Limited</t>
  </si>
  <si>
    <t>Tarnobrzeg</t>
  </si>
  <si>
    <t>Kiovax Tercorolac</t>
  </si>
  <si>
    <t>Marquardt-Ryan Pharmaceutical Ltd</t>
  </si>
  <si>
    <t>Biotasol Siloderm</t>
  </si>
  <si>
    <t>Cogxone Levanide</t>
  </si>
  <si>
    <t>Romaguera, Moen and Hagenes Pharmaceutical Limited</t>
  </si>
  <si>
    <t>Sopot</t>
  </si>
  <si>
    <t>Finanel</t>
  </si>
  <si>
    <t xml:space="preserve">Hartmann-Wolf </t>
  </si>
  <si>
    <t>Trzebnica</t>
  </si>
  <si>
    <t>Schmitt LLC Pharm</t>
  </si>
  <si>
    <t>Nysa</t>
  </si>
  <si>
    <t>Enzastryl</t>
  </si>
  <si>
    <t>Palodizem</t>
  </si>
  <si>
    <t>Buckridge, Dach and Carroll Pharmaceutical Limited</t>
  </si>
  <si>
    <t>Yundt, Leuschke and Ward Pharmaceutical Ltd</t>
  </si>
  <si>
    <t>Penitrana</t>
  </si>
  <si>
    <t>Alemtuvatol Megalinum</t>
  </si>
  <si>
    <t>Pentastrin</t>
  </si>
  <si>
    <t>Ultrimax Ultriset</t>
  </si>
  <si>
    <t xml:space="preserve">Rohan Inc </t>
  </si>
  <si>
    <t>Benzoprox</t>
  </si>
  <si>
    <t>Wintheiser, Breitenberg and Gottlieb Pharmaceutical Limited</t>
  </si>
  <si>
    <t>Alimmethate Insudase</t>
  </si>
  <si>
    <t>Pfeffer-Hodkiewicz Pharmaceutical Ltd</t>
  </si>
  <si>
    <t>Szczytno</t>
  </si>
  <si>
    <t>Acelimus</t>
  </si>
  <si>
    <t xml:space="preserve">Moen, Murazik and Smith </t>
  </si>
  <si>
    <t>Siedlce</t>
  </si>
  <si>
    <t>Argalazine Abostryl</t>
  </si>
  <si>
    <t>Jast-Cruickshank Pharma Plc</t>
  </si>
  <si>
    <t>Zithrotrol</t>
  </si>
  <si>
    <t>Hills, Stroman and Ernser Pharm</t>
  </si>
  <si>
    <t>Lansostral Acgestin</t>
  </si>
  <si>
    <t>Germany</t>
  </si>
  <si>
    <t>Amamadin</t>
  </si>
  <si>
    <t>Schinner, Gaylord and Treutel Pharmaceutical Ltd</t>
  </si>
  <si>
    <t>Graham and Sons Pharmacy</t>
  </si>
  <si>
    <t>Warka</t>
  </si>
  <si>
    <t>Stehr-Champlin Pharmaceutical Limited</t>
  </si>
  <si>
    <t>Nowe Miasto Lubawskie</t>
  </si>
  <si>
    <t>Mann-Waelchi Pharm</t>
  </si>
  <si>
    <t>Travosoline Capolac</t>
  </si>
  <si>
    <t>Haley PLC Pharmaceutical Limited</t>
  </si>
  <si>
    <t>Opole</t>
  </si>
  <si>
    <t>Adalatamine</t>
  </si>
  <si>
    <t>Denesik-Hintz Pharm</t>
  </si>
  <si>
    <t xml:space="preserve">Rosenbaum, Klein and Herzog </t>
  </si>
  <si>
    <t>Androporin</t>
  </si>
  <si>
    <t>Trantow LLC Pharma Plc</t>
  </si>
  <si>
    <t>Braniewo</t>
  </si>
  <si>
    <t>Fosinofen</t>
  </si>
  <si>
    <t xml:space="preserve">Hill Ltd </t>
  </si>
  <si>
    <t>Gliwice</t>
  </si>
  <si>
    <t>Leannon-West Pharmacy</t>
  </si>
  <si>
    <t>Cieszyn</t>
  </si>
  <si>
    <t>Kub, Von and Herzog Pharmacy</t>
  </si>
  <si>
    <t>Wschowa</t>
  </si>
  <si>
    <t>Zonixamine Immulinum</t>
  </si>
  <si>
    <t xml:space="preserve">Welch-Orn </t>
  </si>
  <si>
    <t>Purdy Ltd Pharmaceutical Limited</t>
  </si>
  <si>
    <t>Diprotaine</t>
  </si>
  <si>
    <t>Veratorol Ciclovatol</t>
  </si>
  <si>
    <t>Trazozaprine</t>
  </si>
  <si>
    <t>Balistreri-Watsica Pharmacy</t>
  </si>
  <si>
    <t>Ciclonazol</t>
  </si>
  <si>
    <t>Symdocet</t>
  </si>
  <si>
    <t>Pulmogen Alitora</t>
  </si>
  <si>
    <t xml:space="preserve">Herman, Rice and Rippin </t>
  </si>
  <si>
    <t>Amphesirox</t>
  </si>
  <si>
    <t>Kertzmann-Ward Pharma Plc</t>
  </si>
  <si>
    <t>Opoczno</t>
  </si>
  <si>
    <t>Sucprine Specbalamin</t>
  </si>
  <si>
    <t>Streich PLC Pharmaceutical Limited</t>
  </si>
  <si>
    <t>Clinolan Pitoletra</t>
  </si>
  <si>
    <t>Upton, Abernathy and Goodwin Pharmaceutical Ltd</t>
  </si>
  <si>
    <t>Greenholt, Donnelly and O'Reilly Pharmaceutical Limited</t>
  </si>
  <si>
    <t>Rumia</t>
  </si>
  <si>
    <t>Insozyme</t>
  </si>
  <si>
    <t>Kilback, Beer and Batz Pharma Plc</t>
  </si>
  <si>
    <t>Kutno</t>
  </si>
  <si>
    <t>Ganineva Agenium</t>
  </si>
  <si>
    <t>Kunze PLC Pharm</t>
  </si>
  <si>
    <t>Kinenadryl</t>
  </si>
  <si>
    <t>Lesch PLC Pharmacy</t>
  </si>
  <si>
    <t>Lansopril Acribax</t>
  </si>
  <si>
    <t xml:space="preserve">Hermiston LLC </t>
  </si>
  <si>
    <t>Strzegom</t>
  </si>
  <si>
    <t>Solasteride</t>
  </si>
  <si>
    <t>Kozey Ltd Pharmaceutical Ltd</t>
  </si>
  <si>
    <t>Bielsk Podlaski</t>
  </si>
  <si>
    <t>Malavirine Alimdine</t>
  </si>
  <si>
    <t>Bayer LLC Pharmaceutical Ltd</t>
  </si>
  <si>
    <t>Adtiza Gammaluble</t>
  </si>
  <si>
    <t>Buckridge, Hand and Hyatt Pharma Plc</t>
  </si>
  <si>
    <t>Zgorzelec</t>
  </si>
  <si>
    <t>Diazemid Felcept</t>
  </si>
  <si>
    <t>Hansen Group Pharm</t>
  </si>
  <si>
    <t>Xenaderal</t>
  </si>
  <si>
    <t>October</t>
  </si>
  <si>
    <t>Algluconium Dorzofoxin</t>
  </si>
  <si>
    <t>Nevanide Actozide</t>
  </si>
  <si>
    <t>Sumanazole</t>
  </si>
  <si>
    <t>Beier PLC Pharmacy</t>
  </si>
  <si>
    <t>Ranediol</t>
  </si>
  <si>
    <t>August</t>
  </si>
  <si>
    <t>Paucek, Keeling and Bruen Pharm</t>
  </si>
  <si>
    <t xml:space="preserve">Schaefer-Rolfson </t>
  </si>
  <si>
    <t>Clindaracil</t>
  </si>
  <si>
    <t>West Group Pharmacy</t>
  </si>
  <si>
    <t>Kluczbork</t>
  </si>
  <si>
    <t xml:space="preserve">Kozey-Schroeder </t>
  </si>
  <si>
    <t>Jawor</t>
  </si>
  <si>
    <t xml:space="preserve">Koch, Borer and Hagenes </t>
  </si>
  <si>
    <t xml:space="preserve">Wunsch, Mills and Walter </t>
  </si>
  <si>
    <t>Kielce</t>
  </si>
  <si>
    <t>Ampinonide</t>
  </si>
  <si>
    <t xml:space="preserve">Crist Inc </t>
  </si>
  <si>
    <t>Magneprex</t>
  </si>
  <si>
    <t>Kinerinex</t>
  </si>
  <si>
    <t xml:space="preserve">Sanford, Franecki and Greenholt </t>
  </si>
  <si>
    <t>Abranatal Lysoprosate</t>
  </si>
  <si>
    <t>Steuber Ltd Pharmacy</t>
  </si>
  <si>
    <t>Adriafinil Ehtymara</t>
  </si>
  <si>
    <t>Prohaska-Kuhic Pharmacy</t>
  </si>
  <si>
    <t>Zarostral</t>
  </si>
  <si>
    <t>Antaparin Varizyme</t>
  </si>
  <si>
    <t>Hermiston and Sons Pharma Plc</t>
  </si>
  <si>
    <t>Bochnia</t>
  </si>
  <si>
    <t>Adriacaine</t>
  </si>
  <si>
    <t>November</t>
  </si>
  <si>
    <t>Lacoplex Hyaluvance</t>
  </si>
  <si>
    <t>Ionclotide</t>
  </si>
  <si>
    <t xml:space="preserve">Monahan Ltd </t>
  </si>
  <si>
    <t>Bexridol</t>
  </si>
  <si>
    <t>Steuber, Skiles and Kilback Pharma Plc</t>
  </si>
  <si>
    <t>Sosnowiec</t>
  </si>
  <si>
    <t>Funk PLC Pharmaceutical Limited</t>
  </si>
  <si>
    <t>Proderal</t>
  </si>
  <si>
    <t>Spencer-Jerde Pharmacy</t>
  </si>
  <si>
    <t>Przeworsk</t>
  </si>
  <si>
    <t>Imiformin Transmunex</t>
  </si>
  <si>
    <t>Moore PLC Pharmaceutical Ltd</t>
  </si>
  <si>
    <t>Hepavice</t>
  </si>
  <si>
    <t>Torp-Fisher Pharma Plc</t>
  </si>
  <si>
    <t>Gorlice</t>
  </si>
  <si>
    <t>Thionide</t>
  </si>
  <si>
    <t>Botsford and Sons Pharmaceutical Ltd</t>
  </si>
  <si>
    <t>Requimadin</t>
  </si>
  <si>
    <t>Amcibax Amcikeran</t>
  </si>
  <si>
    <t>Factolamide</t>
  </si>
  <si>
    <t>Duraprazole Agalsixolol</t>
  </si>
  <si>
    <t>Effidomide Evofribrate</t>
  </si>
  <si>
    <t>Crona Group Pharma Plc</t>
  </si>
  <si>
    <t>Kwidzyn</t>
  </si>
  <si>
    <t>Decidenu Galantrigine</t>
  </si>
  <si>
    <t>Mills Inc Pharma Plc</t>
  </si>
  <si>
    <t>Bydgoszcz</t>
  </si>
  <si>
    <t>Alpradipine</t>
  </si>
  <si>
    <t>Herman-Koss Pharm</t>
  </si>
  <si>
    <t>Lubsko</t>
  </si>
  <si>
    <t>Kling Inc Pharmaceutical Ltd</t>
  </si>
  <si>
    <t>Alglutriptan</t>
  </si>
  <si>
    <t>Stelazolid</t>
  </si>
  <si>
    <t>Bernier, Murphy and Rau Pharmaceutical Ltd</t>
  </si>
  <si>
    <t>Ceretosine</t>
  </si>
  <si>
    <t>Gleichner, Bahringer and Morar Pharma Plc</t>
  </si>
  <si>
    <t>Gostynin</t>
  </si>
  <si>
    <t>Alisteride Pemidizem</t>
  </si>
  <si>
    <t>Antilamin Clinbital</t>
  </si>
  <si>
    <t>Tacrodomide</t>
  </si>
  <si>
    <t>Interzide</t>
  </si>
  <si>
    <t>Erdman PLC Pharmacy</t>
  </si>
  <si>
    <t>Ozimek</t>
  </si>
  <si>
    <t>Yundt-Crona Pharmaceutical Ltd</t>
  </si>
  <si>
    <t>Siemiatycze</t>
  </si>
  <si>
    <t>Rebedase Aplencor</t>
  </si>
  <si>
    <t>Menogine</t>
  </si>
  <si>
    <t xml:space="preserve">Okuneva-Corkery </t>
  </si>
  <si>
    <t>Gottlieb-Cruickshank Pharma Plc</t>
  </si>
  <si>
    <t>Brzeszcze</t>
  </si>
  <si>
    <t>Hansen, Fadel and Schroeder Pharm</t>
  </si>
  <si>
    <t>Gniezno</t>
  </si>
  <si>
    <t>Interfeferon Aspipex</t>
  </si>
  <si>
    <t>Effigine Propraprex</t>
  </si>
  <si>
    <t>Schaefer Group Pharmaceutical Limited</t>
  </si>
  <si>
    <t>Travoloride</t>
  </si>
  <si>
    <t>Senger-Kirlin Pharmacy</t>
  </si>
  <si>
    <t>Eproline</t>
  </si>
  <si>
    <t>Primatate Univatol</t>
  </si>
  <si>
    <t>Leffler-Russel Pharm</t>
  </si>
  <si>
    <t>Konstancin-Jeziorna</t>
  </si>
  <si>
    <t>Fentatrol Rapatelase</t>
  </si>
  <si>
    <t>Metapatch</t>
  </si>
  <si>
    <t>Nader-Gaylord Pharmaceutical Limited</t>
  </si>
  <si>
    <t>Adrecetam Barazoxane</t>
  </si>
  <si>
    <t xml:space="preserve">Heller-Abernathy </t>
  </si>
  <si>
    <t>Brzeg Dolny</t>
  </si>
  <si>
    <t>Symbisine Prednimadin</t>
  </si>
  <si>
    <t xml:space="preserve">Rutherford and Sons </t>
  </si>
  <si>
    <t>Gdynia</t>
  </si>
  <si>
    <t xml:space="preserve">Lockman Ltd </t>
  </si>
  <si>
    <t>June</t>
  </si>
  <si>
    <t>Tiaracil</t>
  </si>
  <si>
    <t>Ceftatana Serolamide</t>
  </si>
  <si>
    <t>Rogahn-Klein Pharmacy</t>
  </si>
  <si>
    <t>Koronowo</t>
  </si>
  <si>
    <t>Diprolimus</t>
  </si>
  <si>
    <t>Crist, Wisoky and Nolan Pharmaceutical Ltd</t>
  </si>
  <si>
    <t>Aclonuma</t>
  </si>
  <si>
    <t>Kshlerin, Ryan and Leuschke Pharma Plc</t>
  </si>
  <si>
    <t>Claricriptine Adaferol</t>
  </si>
  <si>
    <t>Dantolac Pazocor</t>
  </si>
  <si>
    <t>Topifribrate</t>
  </si>
  <si>
    <t>Halciramine</t>
  </si>
  <si>
    <t>Pulmofine</t>
  </si>
  <si>
    <t>Cormier, Dietrich and Zulauf Pharma Plc</t>
  </si>
  <si>
    <t>Crona PLC Pharma Plc</t>
  </si>
  <si>
    <t>Afretosine</t>
  </si>
  <si>
    <t>Lactubucil</t>
  </si>
  <si>
    <t>Kreiger Inc Pharma Plc</t>
  </si>
  <si>
    <t>Mielec</t>
  </si>
  <si>
    <t>Aprerase</t>
  </si>
  <si>
    <t>Acubulin</t>
  </si>
  <si>
    <t>Nitzsche, Effertz and Maggio Pharmacy</t>
  </si>
  <si>
    <t>Malbork</t>
  </si>
  <si>
    <t>Doxivorin</t>
  </si>
  <si>
    <t>Ribabyclor</t>
  </si>
  <si>
    <t>Lebsack, Yost and Heller Pharmaceutical Limited</t>
  </si>
  <si>
    <t>Wieliczka</t>
  </si>
  <si>
    <t>Aggretisol</t>
  </si>
  <si>
    <t>Proprabax</t>
  </si>
  <si>
    <t>Zonitonin</t>
  </si>
  <si>
    <t>Harris, Daugherty and Okuneva Pharma Plc</t>
  </si>
  <si>
    <t>Krotoszyn</t>
  </si>
  <si>
    <t>Zemlak Group Pharmaceutical Limited</t>
  </si>
  <si>
    <t>Koszalin</t>
  </si>
  <si>
    <t>Bogan, Jacobs and Kris Pharmacy</t>
  </si>
  <si>
    <t>Cephovelam</t>
  </si>
  <si>
    <t>Kertzmann, Quitzon and Harris Pharma Plc</t>
  </si>
  <si>
    <t>Reszel</t>
  </si>
  <si>
    <t>Aquamycin Lacoran</t>
  </si>
  <si>
    <t>Asparathasone Unipan</t>
  </si>
  <si>
    <t>Halcifergen Nevazone</t>
  </si>
  <si>
    <t>Cassin PLC Pharmacy</t>
  </si>
  <si>
    <t>Miastko</t>
  </si>
  <si>
    <t>Zynosine</t>
  </si>
  <si>
    <t>Victomine</t>
  </si>
  <si>
    <t>Araxetine</t>
  </si>
  <si>
    <t>Feruprazole</t>
  </si>
  <si>
    <t>Lesch PLC Pharmaceutical Ltd</t>
  </si>
  <si>
    <t>Quiniprosyn</t>
  </si>
  <si>
    <t>Bosco-Marquardt Pharm</t>
  </si>
  <si>
    <t>Aggrakine</t>
  </si>
  <si>
    <t>Afluferon Entrarenone</t>
  </si>
  <si>
    <t>Gerhold, Mills and Effertz Pharm</t>
  </si>
  <si>
    <t>Megenorphine</t>
  </si>
  <si>
    <t>Allomenda</t>
  </si>
  <si>
    <t>Zyvance</t>
  </si>
  <si>
    <t xml:space="preserve">Welch-Langworth </t>
  </si>
  <si>
    <t>Warsaw</t>
  </si>
  <si>
    <t>Angioparin Brimosumab</t>
  </si>
  <si>
    <t>Brakus, Rempel and Harber Pharma Plc</t>
  </si>
  <si>
    <t>Nowy Targ</t>
  </si>
  <si>
    <t>Imiderm Vibranovate</t>
  </si>
  <si>
    <t>Zemlak-Witting Pharmacy</t>
  </si>
  <si>
    <t>Atomorelin</t>
  </si>
  <si>
    <t>Fentalac</t>
  </si>
  <si>
    <t>Microroban Afatigomar</t>
  </si>
  <si>
    <t>Tetalamide</t>
  </si>
  <si>
    <t xml:space="preserve">Gerlach LLC </t>
  </si>
  <si>
    <t>Collins-Schmidt Pharma Plc</t>
  </si>
  <si>
    <t>Marburg</t>
  </si>
  <si>
    <t>Bosco-Marquardt Pharmaceutical Limited</t>
  </si>
  <si>
    <t>Brandenburg</t>
  </si>
  <si>
    <t>Hahn, Rutherford and Gislason Pharm</t>
  </si>
  <si>
    <t>Kulmbach</t>
  </si>
  <si>
    <t xml:space="preserve">Gerhold, Mills and Effertz </t>
  </si>
  <si>
    <t>Ansbach</t>
  </si>
  <si>
    <t>Prohaska-Kuhic Pharma Plc</t>
  </si>
  <si>
    <t>Pirmasens</t>
  </si>
  <si>
    <t xml:space="preserve">Turner Ltd </t>
  </si>
  <si>
    <t>Porta Westfalica</t>
  </si>
  <si>
    <t>Upton, Abernathy and Goodwin Pharmaceutical Limited</t>
  </si>
  <si>
    <t>Detmold</t>
  </si>
  <si>
    <t>Fahey-Flatley Pharmaceutical Ltd</t>
  </si>
  <si>
    <t>Uelzen</t>
  </si>
  <si>
    <t>White Inc Pharm</t>
  </si>
  <si>
    <t>Ehingen an der Donau</t>
  </si>
  <si>
    <t>Agalsiline</t>
  </si>
  <si>
    <t xml:space="preserve">Pfannerstill Group </t>
  </si>
  <si>
    <t>Calw</t>
  </si>
  <si>
    <t>Kuhic LLC Pharmaceutical Limited</t>
  </si>
  <si>
    <t>Gronau</t>
  </si>
  <si>
    <t>Welch-Langworth Pharm</t>
  </si>
  <si>
    <t>Papenburg</t>
  </si>
  <si>
    <t xml:space="preserve">Botsford and Sons </t>
  </si>
  <si>
    <t>Marl</t>
  </si>
  <si>
    <t>Lesch PLC Pharma Plc</t>
  </si>
  <si>
    <t>Balistreri Group Pharmacy</t>
  </si>
  <si>
    <t>Bad Honnef am Rhein</t>
  </si>
  <si>
    <t>Raparidol</t>
  </si>
  <si>
    <t xml:space="preserve">Reynolds, Jast and Mante </t>
  </si>
  <si>
    <t>Achern</t>
  </si>
  <si>
    <t>Dexmeprazole Transnuvia</t>
  </si>
  <si>
    <t xml:space="preserve">Erdman  </t>
  </si>
  <si>
    <t xml:space="preserve">Rodriguez, Stokes and Dickens </t>
  </si>
  <si>
    <t>Ostfildern</t>
  </si>
  <si>
    <t xml:space="preserve">Purdy Ltd </t>
  </si>
  <si>
    <t>Erkelenz</t>
  </si>
  <si>
    <t>D'Amore and Sons Pharmacy</t>
  </si>
  <si>
    <t>Lohne</t>
  </si>
  <si>
    <t>Will, McGlynn and Fritsch Pharmaceutical Limited</t>
  </si>
  <si>
    <t>Alzey</t>
  </si>
  <si>
    <t xml:space="preserve">Schuppe Inc </t>
  </si>
  <si>
    <t>Bensheim</t>
  </si>
  <si>
    <t>Romaguera, Moen and Hagenes Pharm</t>
  </si>
  <si>
    <t>Medhurst-Beer Pharm</t>
  </si>
  <si>
    <t>Viernheim</t>
  </si>
  <si>
    <t>Cricane Acamsumab</t>
  </si>
  <si>
    <t>Barton Ltd Pharmaceutical Limited</t>
  </si>
  <si>
    <t>Celle</t>
  </si>
  <si>
    <t>Runte-Marquardt Pharm</t>
  </si>
  <si>
    <t>Wittenberg</t>
  </si>
  <si>
    <t>Parisian, Hagenes and Skiles Pharm</t>
  </si>
  <si>
    <t>Greiz</t>
  </si>
  <si>
    <t>Upton PLC Pharmaceutical Limited</t>
  </si>
  <si>
    <t>Raynor LLC Pharm</t>
  </si>
  <si>
    <t>Hilden</t>
  </si>
  <si>
    <t>Koelpin, Luettgen and Abernathy Pharmaceutical Ltd</t>
  </si>
  <si>
    <t>Moen, Murazik and Smith Pharm</t>
  </si>
  <si>
    <t>Altenburg</t>
  </si>
  <si>
    <t xml:space="preserve">Osinski-Collins </t>
  </si>
  <si>
    <t>Rheinfelden (Baden)</t>
  </si>
  <si>
    <t>Sevoderm</t>
  </si>
  <si>
    <t>Fritsch, Hodkiewicz and Sipes Pharma Plc</t>
  </si>
  <si>
    <t>Ettlingen</t>
  </si>
  <si>
    <t>Adideine</t>
  </si>
  <si>
    <t>Rosenbaum-Tromp Pharmacy</t>
  </si>
  <si>
    <t>Relenvice</t>
  </si>
  <si>
    <t>Torphy, Pfeffer and Jakubowski Pharm</t>
  </si>
  <si>
    <t>Limburg</t>
  </si>
  <si>
    <t>VonRueden-Adams Pharm</t>
  </si>
  <si>
    <t>Delitzsch</t>
  </si>
  <si>
    <t>Skiles-McKenzie Pharmaceutical Limited</t>
  </si>
  <si>
    <t>Westerstede</t>
  </si>
  <si>
    <t>Aspinavir Silovance</t>
  </si>
  <si>
    <t>Okuneva-Corkery Pharm</t>
  </si>
  <si>
    <t xml:space="preserve">Hirthe, Williamson and Macejkovic </t>
  </si>
  <si>
    <t>Schwandorf</t>
  </si>
  <si>
    <t>Immurenol Temarate</t>
  </si>
  <si>
    <t>Wehner-Stehr Pharm</t>
  </si>
  <si>
    <t>Chemnitz</t>
  </si>
  <si>
    <t>Nader-Borer Pharmaceutical Limited</t>
  </si>
  <si>
    <t>Grimma</t>
  </si>
  <si>
    <t>Herman, Rice and Rippin Pharmaceutical Limited</t>
  </si>
  <si>
    <t>Schorndorf</t>
  </si>
  <si>
    <t>Świecie</t>
  </si>
  <si>
    <t>Czeladź</t>
  </si>
  <si>
    <t>Inowrocław</t>
  </si>
  <si>
    <t>Ciechanów</t>
  </si>
  <si>
    <t>Kraków</t>
  </si>
  <si>
    <t>Ostrów Mazowiecka</t>
  </si>
  <si>
    <t>Gdańsk</t>
  </si>
  <si>
    <t>Tarnowskie Góry</t>
  </si>
  <si>
    <t>Łaziska Górne</t>
  </si>
  <si>
    <t>Wągrowiec</t>
  </si>
  <si>
    <t>Lwówek Śląski</t>
  </si>
  <si>
    <t>Złotoryja</t>
  </si>
  <si>
    <t>Biłgoraj</t>
  </si>
  <si>
    <t>Bolesławiec</t>
  </si>
  <si>
    <t>Świdnica</t>
  </si>
  <si>
    <t>Piastów</t>
  </si>
  <si>
    <t>Łódź</t>
  </si>
  <si>
    <t>Rzeszów</t>
  </si>
  <si>
    <t>Lubaczów</t>
  </si>
  <si>
    <t>Świdnik</t>
  </si>
  <si>
    <t>Brwinów</t>
  </si>
  <si>
    <t>Bielsko-Biała</t>
  </si>
  <si>
    <t>Wałcz</t>
  </si>
  <si>
    <t>Kęty</t>
  </si>
  <si>
    <t>Częstochowa</t>
  </si>
  <si>
    <t>Bełchatów</t>
  </si>
  <si>
    <t>Chełmża</t>
  </si>
  <si>
    <t>Poznań</t>
  </si>
  <si>
    <t>Elbląg</t>
  </si>
  <si>
    <t>Kłodzko</t>
  </si>
  <si>
    <t>Chorzów</t>
  </si>
  <si>
    <t>Grudziądz</t>
  </si>
  <si>
    <t>Łęczyca</t>
  </si>
  <si>
    <t>Człuchów</t>
  </si>
  <si>
    <t>Dęblin</t>
  </si>
  <si>
    <t>Świnoujście</t>
  </si>
  <si>
    <t>Gorzów Wielkopolski</t>
  </si>
  <si>
    <t>Nakło nad Notecią</t>
  </si>
  <si>
    <t>Kamień Pomorski</t>
  </si>
  <si>
    <t>Węgorzewo</t>
  </si>
  <si>
    <t>Luboń</t>
  </si>
  <si>
    <t>Żychlin</t>
  </si>
  <si>
    <t>Chojnów</t>
  </si>
  <si>
    <t>Milanówek</t>
  </si>
  <si>
    <t>Białystok</t>
  </si>
  <si>
    <t>Pułtusk</t>
  </si>
  <si>
    <t>Dąbrowa Górnicza</t>
  </si>
  <si>
    <t>Piotrków Trybunalski</t>
  </si>
  <si>
    <t>Międzyrzec Podlaski</t>
  </si>
  <si>
    <t>Zbąszyń</t>
  </si>
  <si>
    <t>Chełmno</t>
  </si>
  <si>
    <t>Głuchołazy</t>
  </si>
  <si>
    <t>Ełk</t>
  </si>
  <si>
    <t>Ziębice</t>
  </si>
  <si>
    <t>Przemyśl</t>
  </si>
  <si>
    <t>Jarosław</t>
  </si>
  <si>
    <t>Darłowo</t>
  </si>
  <si>
    <t>Wrocław</t>
  </si>
  <si>
    <t>Bytów</t>
  </si>
  <si>
    <t>Gryfów Śląski</t>
  </si>
  <si>
    <t>Włocławek</t>
  </si>
  <si>
    <t>Łęczna</t>
  </si>
  <si>
    <t>Niepołomice</t>
  </si>
  <si>
    <t>Kościan</t>
  </si>
  <si>
    <t>Stary Sącz</t>
  </si>
  <si>
    <t>Nowa Sól</t>
  </si>
  <si>
    <t>Ostrołęka</t>
  </si>
  <si>
    <t>Wisła</t>
  </si>
  <si>
    <t>Oświęcim</t>
  </si>
  <si>
    <t>Mikołów</t>
  </si>
  <si>
    <t>Łomża</t>
  </si>
  <si>
    <t>Kołobrzeg</t>
  </si>
  <si>
    <t>Ostrowiec Świętokrzyski</t>
  </si>
  <si>
    <t>Ruda Śląska</t>
  </si>
  <si>
    <t>Kostrzyn nad Odrą</t>
  </si>
  <si>
    <t>Ustroń</t>
  </si>
  <si>
    <t>Kobyłka</t>
  </si>
  <si>
    <t>Sobótka</t>
  </si>
  <si>
    <t>Połaniec</t>
  </si>
  <si>
    <t>Toruń</t>
  </si>
  <si>
    <t>Zielona Góra</t>
  </si>
  <si>
    <t>Puławy</t>
  </si>
  <si>
    <t>Białogard</t>
  </si>
  <si>
    <t>Lubartów</t>
  </si>
  <si>
    <t>Głuszyca</t>
  </si>
  <si>
    <t>Lębork</t>
  </si>
  <si>
    <t>Głubczyce</t>
  </si>
  <si>
    <t>Międzyrzecz</t>
  </si>
  <si>
    <t>Königs Wusterhausen</t>
  </si>
  <si>
    <t>Unterschleißheim</t>
  </si>
  <si>
    <t>Mühlhausen</t>
  </si>
  <si>
    <t>Mörfelden-Walldorf</t>
  </si>
  <si>
    <t>Lüdenscheid</t>
  </si>
  <si>
    <t>Groß-Gerau</t>
  </si>
  <si>
    <t>Grand Total</t>
  </si>
  <si>
    <t>Sum of Sales</t>
  </si>
  <si>
    <t>TOTAL SALES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</si>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</sst>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&quot;$&quot;#,##0.00,,&quot;M&quot;"/>
  </numFmts>
  <fonts count="2" x14ac:knownFonts="1">
    <font>
      <sz val="11"/>
      <color theme="1"/>
      <name val="Calibri"/>
      <family val="2"/>
      <scheme val="minor"/>
    </font>
    <font>
      <b/>
      <sz val="10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64" fontId="0" fillId="0" borderId="0" xfId="0" applyNumberFormat="1"/>
    <xf numFmtId="167" fontId="0" fillId="0" borderId="0" xfId="0" applyNumberFormat="1"/>
    <xf numFmtId="167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9">
    <dxf>
      <numFmt numFmtId="167" formatCode="&quot;$&quot;#,##0.00,,&quot;M&quot;"/>
    </dxf>
    <dxf>
      <numFmt numFmtId="164" formatCode="&quot;$&quot;#,##0.00"/>
    </dxf>
    <dxf>
      <numFmt numFmtId="167" formatCode="&quot;$&quot;#,##0.00,,&quot;M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SALES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Table'!$A$4:$A$14</c:f>
              <c:strCache>
                <c:ptCount val="10"/>
                <c:pt idx="0">
                  <c:v>Travosoline Capolac</c:v>
                </c:pt>
                <c:pt idx="1">
                  <c:v>Trazobalamin</c:v>
                </c:pt>
                <c:pt idx="2">
                  <c:v>Spiroderall</c:v>
                </c:pt>
                <c:pt idx="3">
                  <c:v>Lovapur</c:v>
                </c:pt>
                <c:pt idx="4">
                  <c:v>Amamadin</c:v>
                </c:pt>
                <c:pt idx="5">
                  <c:v>Morphizolid Tianalin</c:v>
                </c:pt>
                <c:pt idx="6">
                  <c:v>Tetratanyl</c:v>
                </c:pt>
                <c:pt idx="7">
                  <c:v>Dexmeprazole Transnuvia</c:v>
                </c:pt>
                <c:pt idx="8">
                  <c:v>Relenstrel Exurabine</c:v>
                </c:pt>
                <c:pt idx="9">
                  <c:v>Ribabyclor</c:v>
                </c:pt>
              </c:strCache>
            </c:strRef>
          </c:cat>
          <c:val>
            <c:numRef>
              <c:f>'Pivot Table'!$B$4:$B$14</c:f>
              <c:numCache>
                <c:formatCode>"$"#,##0.00</c:formatCode>
                <c:ptCount val="10"/>
                <c:pt idx="0">
                  <c:v>29890</c:v>
                </c:pt>
                <c:pt idx="1">
                  <c:v>32004</c:v>
                </c:pt>
                <c:pt idx="2">
                  <c:v>32650</c:v>
                </c:pt>
                <c:pt idx="3">
                  <c:v>38570</c:v>
                </c:pt>
                <c:pt idx="4">
                  <c:v>39928</c:v>
                </c:pt>
                <c:pt idx="5">
                  <c:v>56392</c:v>
                </c:pt>
                <c:pt idx="6">
                  <c:v>64386</c:v>
                </c:pt>
                <c:pt idx="7">
                  <c:v>93600</c:v>
                </c:pt>
                <c:pt idx="8">
                  <c:v>107272</c:v>
                </c:pt>
                <c:pt idx="9">
                  <c:v>240597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9-4542-80F0-0B40A0A62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6255328"/>
        <c:axId val="496254080"/>
      </c:barChart>
      <c:catAx>
        <c:axId val="49625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54080"/>
        <c:crosses val="autoZero"/>
        <c:auto val="1"/>
        <c:lblAlgn val="ctr"/>
        <c:lblOffset val="100"/>
        <c:noMultiLvlLbl val="0"/>
      </c:catAx>
      <c:valAx>
        <c:axId val="496254080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5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4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57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PERFORMING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7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E4-4707-88AA-12203EECD0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E4-4707-88AA-12203EECD0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Germany</c:v>
              </c:pt>
              <c:pt idx="1">
                <c:v>Poland</c:v>
              </c:pt>
            </c:strLit>
          </c:cat>
          <c:val>
            <c:numLit>
              <c:formatCode>General</c:formatCode>
              <c:ptCount val="2"/>
              <c:pt idx="0">
                <c:v>571025</c:v>
              </c:pt>
              <c:pt idx="1">
                <c:v>1140558</c:v>
              </c:pt>
            </c:numLit>
          </c:val>
          <c:extLst>
            <c:ext xmlns:c16="http://schemas.microsoft.com/office/drawing/2014/chart" uri="{C3380CC4-5D6E-409C-BE32-E72D297353CC}">
              <c16:uniqueId val="{00000004-CAE4-4707-88AA-12203EECD0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480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57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SALES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7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31164691587901"/>
          <c:y val="0.26282859806649439"/>
          <c:w val="0.6959537973584965"/>
          <c:h val="0.5385449289327872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Table'!$G$4:$G$6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'Pivot Table'!$H$4:$H$6</c:f>
              <c:numCache>
                <c:formatCode>"$"#,##0.00</c:formatCode>
                <c:ptCount val="2"/>
                <c:pt idx="0">
                  <c:v>502404</c:v>
                </c:pt>
                <c:pt idx="1">
                  <c:v>1209179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4-465C-B826-3E5C807DC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210112"/>
        <c:axId val="364207616"/>
      </c:lineChart>
      <c:catAx>
        <c:axId val="3642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07616"/>
        <c:crosses val="autoZero"/>
        <c:auto val="1"/>
        <c:lblAlgn val="ctr"/>
        <c:lblOffset val="100"/>
        <c:noMultiLvlLbl val="0"/>
      </c:catAx>
      <c:valAx>
        <c:axId val="364207616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1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48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Table!PivotTable12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PRODUCTS</a:t>
            </a:r>
          </a:p>
        </c:rich>
      </c:tx>
      <c:layout>
        <c:manualLayout>
          <c:xMode val="edge"/>
          <c:yMode val="edge"/>
          <c:x val="0.35944797890185426"/>
          <c:y val="3.7906404740644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[$$-409]#,##0.00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11213491239428"/>
          <c:y val="0.12718329409854695"/>
          <c:w val="0.8730113658298877"/>
          <c:h val="0.6831047162919068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Table'!$E$10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[$$-409]#,##0.0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Table'!$D$11:$D$16</c:f>
              <c:strCache>
                <c:ptCount val="5"/>
                <c:pt idx="0">
                  <c:v>Morphizolid Tianalin</c:v>
                </c:pt>
                <c:pt idx="1">
                  <c:v>Tetratanyl</c:v>
                </c:pt>
                <c:pt idx="2">
                  <c:v>Dexmeprazole Transnuvia</c:v>
                </c:pt>
                <c:pt idx="3">
                  <c:v>Relenstrel Exurabine</c:v>
                </c:pt>
                <c:pt idx="4">
                  <c:v>Ribabyclor</c:v>
                </c:pt>
              </c:strCache>
            </c:strRef>
          </c:cat>
          <c:val>
            <c:numRef>
              <c:f>'Pivot Table'!$E$11:$E$16</c:f>
              <c:numCache>
                <c:formatCode>"$"#,##0.00</c:formatCode>
                <c:ptCount val="5"/>
                <c:pt idx="0">
                  <c:v>56392</c:v>
                </c:pt>
                <c:pt idx="1">
                  <c:v>64386</c:v>
                </c:pt>
                <c:pt idx="2">
                  <c:v>93600</c:v>
                </c:pt>
                <c:pt idx="3">
                  <c:v>107272</c:v>
                </c:pt>
                <c:pt idx="4">
                  <c:v>240597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0-4527-BC27-4441C0612B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02800"/>
        <c:axId val="5516528"/>
      </c:barChart>
      <c:catAx>
        <c:axId val="55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528"/>
        <c:crosses val="autoZero"/>
        <c:auto val="1"/>
        <c:lblAlgn val="ctr"/>
        <c:lblOffset val="100"/>
        <c:noMultiLvlLbl val="0"/>
      </c:catAx>
      <c:valAx>
        <c:axId val="5516528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4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 Project.xlsx]Pivot Table!PivotTable13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576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LEAST PERFORMING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76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4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Table'!$G$11:$G$16</c:f>
              <c:strCache>
                <c:ptCount val="5"/>
                <c:pt idx="0">
                  <c:v>Afluferon Entrarenone</c:v>
                </c:pt>
                <c:pt idx="1">
                  <c:v>Aggrakine</c:v>
                </c:pt>
                <c:pt idx="2">
                  <c:v>Cricane Acamsumab</c:v>
                </c:pt>
                <c:pt idx="3">
                  <c:v>Immurenol Temarate</c:v>
                </c:pt>
                <c:pt idx="4">
                  <c:v>Raparidol</c:v>
                </c:pt>
              </c:strCache>
            </c:strRef>
          </c:cat>
          <c:val>
            <c:numRef>
              <c:f>'Pivot Table'!$H$11:$H$16</c:f>
              <c:numCache>
                <c:formatCode>General</c:formatCode>
                <c:ptCount val="5"/>
                <c:pt idx="0">
                  <c:v>104</c:v>
                </c:pt>
                <c:pt idx="1">
                  <c:v>94</c:v>
                </c:pt>
                <c:pt idx="2">
                  <c:v>44</c:v>
                </c:pt>
                <c:pt idx="3">
                  <c:v>-35451</c:v>
                </c:pt>
                <c:pt idx="4">
                  <c:v>-1870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2-431C-A67A-C54B3A40B3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0361040"/>
        <c:axId val="260356048"/>
      </c:barChart>
      <c:catAx>
        <c:axId val="26036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356048"/>
        <c:crosses val="autoZero"/>
        <c:auto val="1"/>
        <c:lblAlgn val="ctr"/>
        <c:lblOffset val="100"/>
        <c:noMultiLvlLbl val="0"/>
      </c:catAx>
      <c:valAx>
        <c:axId val="26035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36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48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523874</xdr:colOff>
      <xdr:row>82</xdr:row>
      <xdr:rowOff>0</xdr:rowOff>
    </xdr:from>
    <xdr:to>
      <xdr:col>43</xdr:col>
      <xdr:colOff>336176</xdr:colOff>
      <xdr:row>196</xdr:row>
      <xdr:rowOff>-1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00E6D4-97BF-46FE-80C9-D76627BE0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482554</xdr:colOff>
      <xdr:row>83</xdr:row>
      <xdr:rowOff>51125</xdr:rowOff>
    </xdr:from>
    <xdr:to>
      <xdr:col>79</xdr:col>
      <xdr:colOff>504264</xdr:colOff>
      <xdr:row>197</xdr:row>
      <xdr:rowOff>-1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077FCD-B85C-4D22-8270-B104117C1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523878</xdr:colOff>
      <xdr:row>2</xdr:row>
      <xdr:rowOff>66534</xdr:rowOff>
    </xdr:from>
    <xdr:to>
      <xdr:col>34</xdr:col>
      <xdr:colOff>560294</xdr:colOff>
      <xdr:row>76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44F19F-39DB-461C-B6FA-D25F3F355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560294</xdr:colOff>
      <xdr:row>2</xdr:row>
      <xdr:rowOff>63501</xdr:rowOff>
    </xdr:from>
    <xdr:to>
      <xdr:col>79</xdr:col>
      <xdr:colOff>336176</xdr:colOff>
      <xdr:row>75</xdr:row>
      <xdr:rowOff>112059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96A70B-027A-4CC1-AB62-E5F8D8374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81</xdr:col>
      <xdr:colOff>448235</xdr:colOff>
      <xdr:row>4</xdr:row>
      <xdr:rowOff>112059</xdr:rowOff>
    </xdr:from>
    <xdr:to>
      <xdr:col>120</xdr:col>
      <xdr:colOff>280147</xdr:colOff>
      <xdr:row>51</xdr:row>
      <xdr:rowOff>112059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752EDE4-9744-4262-BDD9-7619340CCECC}"/>
            </a:ext>
          </a:extLst>
        </xdr:cNvPr>
        <xdr:cNvSpPr txBox="1"/>
      </xdr:nvSpPr>
      <xdr:spPr>
        <a:xfrm>
          <a:off x="50370441" y="784412"/>
          <a:ext cx="23868530" cy="790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0" b="1"/>
            <a:t>SALES PERFORMANCE DASHBOARD</a:t>
          </a:r>
        </a:p>
      </xdr:txBody>
    </xdr:sp>
    <xdr:clientData/>
  </xdr:twoCellAnchor>
  <xdr:twoCellAnchor>
    <xdr:from>
      <xdr:col>81</xdr:col>
      <xdr:colOff>224117</xdr:colOff>
      <xdr:row>81</xdr:row>
      <xdr:rowOff>112059</xdr:rowOff>
    </xdr:from>
    <xdr:to>
      <xdr:col>120</xdr:col>
      <xdr:colOff>112058</xdr:colOff>
      <xdr:row>195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35A7FC2-5B0A-4A38-AE81-A275296D8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81</xdr:col>
      <xdr:colOff>392207</xdr:colOff>
      <xdr:row>53</xdr:row>
      <xdr:rowOff>56030</xdr:rowOff>
    </xdr:from>
    <xdr:to>
      <xdr:col>102</xdr:col>
      <xdr:colOff>224119</xdr:colOff>
      <xdr:row>76</xdr:row>
      <xdr:rowOff>40341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D177F87-92BA-4074-91BD-3AE4651E4444}"/>
            </a:ext>
          </a:extLst>
        </xdr:cNvPr>
        <xdr:cNvSpPr txBox="1"/>
      </xdr:nvSpPr>
      <xdr:spPr>
        <a:xfrm>
          <a:off x="50314413" y="8964706"/>
          <a:ext cx="12774706" cy="38503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0" b="1"/>
            <a:t>TOTAL</a:t>
          </a:r>
          <a:r>
            <a:rPr lang="en-US" sz="12000" b="1" baseline="0"/>
            <a:t> SALES</a:t>
          </a:r>
          <a:endParaRPr lang="en-US" sz="120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nmile" refreshedDate="46087.586653703707" createdVersion="7" refreshedVersion="7" minRefreshableVersion="3" recordCount="336" xr:uid="{7612876A-71BC-46F1-9622-553E4D734EAB}">
  <cacheSource type="worksheet">
    <worksheetSource name="Sheet1__2"/>
  </cacheSource>
  <cacheFields count="18">
    <cacheField name="Distributor" numFmtId="0">
      <sharedItems/>
    </cacheField>
    <cacheField name="Customer Name" numFmtId="0">
      <sharedItems/>
    </cacheField>
    <cacheField name="City" numFmtId="0">
      <sharedItems/>
    </cacheField>
    <cacheField name="Country" numFmtId="0">
      <sharedItems count="2">
        <s v="Poland"/>
        <s v="Germany"/>
      </sharedItems>
    </cacheField>
    <cacheField name="Latitude" numFmtId="0">
      <sharedItems containsSemiMixedTypes="0" containsString="0" containsNumber="1" minValue="47.561100000000003" maxValue="54.566699999999997"/>
    </cacheField>
    <cacheField name="Longitude" numFmtId="0">
      <sharedItems containsSemiMixedTypes="0" containsString="0" containsNumber="1" minValue="6.3155999999999999" maxValue="23.2"/>
    </cacheField>
    <cacheField name="Channel" numFmtId="0">
      <sharedItems/>
    </cacheField>
    <cacheField name="Sub-channel" numFmtId="0">
      <sharedItems/>
    </cacheField>
    <cacheField name="Product Name" numFmtId="0">
      <sharedItems count="183">
        <s v="Topipizole"/>
        <s v="Choriotrisin"/>
        <s v="Acantaine"/>
        <s v="Lioletine Refliruvax"/>
        <s v="Oxymotroban Fexoformin"/>
        <s v="Pazofenac"/>
        <s v="Symbitrim"/>
        <s v="Morphizolid Tianalin"/>
        <s v="Lovapur"/>
        <s v="Ampysin"/>
        <s v="Trazobalamin"/>
        <s v="Atrabicin Alkerotec"/>
        <s v="Exotropin Empizine"/>
        <s v="Afinitasol"/>
        <s v="Amavirase"/>
        <s v="Neuropogen Empibax"/>
        <s v="Tracdomide"/>
        <s v="Novakyn Tracprox"/>
        <s v="Paronium Atracustone"/>
        <s v="Dantocept Ferurenone"/>
        <s v="Aciprex"/>
        <s v="Diaxolol"/>
        <s v="Saprodeine Zanprosyn"/>
        <s v="Magnemunex"/>
        <s v="Pitodomide"/>
        <s v="Malaxolol Aeroprosyn"/>
        <s v="Tetratanyl"/>
        <s v="Spiroderall"/>
        <s v="Formolovir Amanferon"/>
        <s v="Panpion"/>
        <s v="Dorzovorin Pentadarone"/>
        <s v="Comzyme"/>
        <s v="Aldevac"/>
        <s v="Invisteride Diclomycin"/>
        <s v="Ergomethate"/>
        <s v="Theopril"/>
        <s v="Ketastadil"/>
        <s v="Methiclotide"/>
        <s v="Propratecan"/>
        <s v="Lovavatol Azelavarix"/>
        <s v="Symbiroban"/>
        <s v="Afaxacin"/>
        <s v="Testant"/>
        <s v="Temasone Thiobucil"/>
        <s v="Propralamide Dexlanzolam"/>
        <s v="Abobozolid"/>
        <s v="Choriogestrel"/>
        <s v="Factofribrate"/>
        <s v="Sanctumine"/>
        <s v="Epzipitant"/>
        <s v="Relenstrel Exurabine"/>
        <s v="Kiovax Tercorolac"/>
        <s v="Biotasol Siloderm"/>
        <s v="Cogxone Levanide"/>
        <s v="Finanel"/>
        <s v="Enzastryl"/>
        <s v="Palodizem"/>
        <s v="Penitrana"/>
        <s v="Alemtuvatol Megalinum"/>
        <s v="Pentastrin"/>
        <s v="Ultrimax Ultriset"/>
        <s v="Benzoprox"/>
        <s v="Alimmethate Insudase"/>
        <s v="Acelimus"/>
        <s v="Argalazine Abostryl"/>
        <s v="Zithrotrol"/>
        <s v="Lansostral Acgestin"/>
        <s v="Amamadin"/>
        <s v="Travosoline Capolac"/>
        <s v="Adalatamine"/>
        <s v="Androporin"/>
        <s v="Fosinofen"/>
        <s v="Zonixamine Immulinum"/>
        <s v="Diprotaine"/>
        <s v="Veratorol Ciclovatol"/>
        <s v="Trazozaprine"/>
        <s v="Ciclonazol"/>
        <s v="Symdocet"/>
        <s v="Pulmogen Alitora"/>
        <s v="Amphesirox"/>
        <s v="Sucprine Specbalamin"/>
        <s v="Clinolan Pitoletra"/>
        <s v="Insozyme"/>
        <s v="Ganineva Agenium"/>
        <s v="Kinenadryl"/>
        <s v="Lansopril Acribax"/>
        <s v="Solasteride"/>
        <s v="Malavirine Alimdine"/>
        <s v="Adtiza Gammaluble"/>
        <s v="Diazemid Felcept"/>
        <s v="Xenaderal"/>
        <s v="Algluconium Dorzofoxin"/>
        <s v="Nevanide Actozide"/>
        <s v="Sumanazole"/>
        <s v="Ranediol"/>
        <s v="Clindaracil"/>
        <s v="Ampinonide"/>
        <s v="Magneprex"/>
        <s v="Kinerinex"/>
        <s v="Abranatal Lysoprosate"/>
        <s v="Adriafinil Ehtymara"/>
        <s v="Zarostral"/>
        <s v="Antaparin Varizyme"/>
        <s v="Adriacaine"/>
        <s v="Lacoplex Hyaluvance"/>
        <s v="Ionclotide"/>
        <s v="Bexridol"/>
        <s v="Proderal"/>
        <s v="Imiformin Transmunex"/>
        <s v="Hepavice"/>
        <s v="Thionide"/>
        <s v="Requimadin"/>
        <s v="Amcibax Amcikeran"/>
        <s v="Factolamide"/>
        <s v="Duraprazole Agalsixolol"/>
        <s v="Effidomide Evofribrate"/>
        <s v="Decidenu Galantrigine"/>
        <s v="Alpradipine"/>
        <s v="Alglutriptan"/>
        <s v="Stelazolid"/>
        <s v="Ceretosine"/>
        <s v="Alisteride Pemidizem"/>
        <s v="Antilamin Clinbital"/>
        <s v="Tacrodomide"/>
        <s v="Interzide"/>
        <s v="Rebedase Aplencor"/>
        <s v="Menogine"/>
        <s v="Interfeferon Aspipex"/>
        <s v="Effigine Propraprex"/>
        <s v="Travoloride"/>
        <s v="Eproline"/>
        <s v="Primatate Univatol"/>
        <s v="Fentatrol Rapatelase"/>
        <s v="Metapatch"/>
        <s v="Adrecetam Barazoxane"/>
        <s v="Symbisine Prednimadin"/>
        <s v="Tiaracil"/>
        <s v="Ceftatana Serolamide"/>
        <s v="Diprolimus"/>
        <s v="Aclonuma"/>
        <s v="Claricriptine Adaferol"/>
        <s v="Dantolac Pazocor"/>
        <s v="Topifribrate"/>
        <s v="Halciramine"/>
        <s v="Pulmofine"/>
        <s v="Afretosine"/>
        <s v="Lactubucil"/>
        <s v="Aprerase"/>
        <s v="Acubulin"/>
        <s v="Doxivorin"/>
        <s v="Ribabyclor"/>
        <s v="Aggretisol"/>
        <s v="Proprabax"/>
        <s v="Zonitonin"/>
        <s v="Cephovelam"/>
        <s v="Aquamycin Lacoran"/>
        <s v="Asparathasone Unipan"/>
        <s v="Halcifergen Nevazone"/>
        <s v="Zynosine"/>
        <s v="Victomine"/>
        <s v="Araxetine"/>
        <s v="Feruprazole"/>
        <s v="Quiniprosyn"/>
        <s v="Aggrakine"/>
        <s v="Afluferon Entrarenone"/>
        <s v="Megenorphine"/>
        <s v="Allomenda"/>
        <s v="Zyvance"/>
        <s v="Angioparin Brimosumab"/>
        <s v="Imiderm Vibranovate"/>
        <s v="Atomorelin"/>
        <s v="Fentalac"/>
        <s v="Microroban Afatigomar"/>
        <s v="Tetalamide"/>
        <s v="Agalsiline"/>
        <s v="Raparidol"/>
        <s v="Dexmeprazole Transnuvia"/>
        <s v="Cricane Acamsumab"/>
        <s v="Sevoderm"/>
        <s v="Adideine"/>
        <s v="Relenvice"/>
        <s v="Aspinavir Silovance"/>
        <s v="Immurenol Temarate"/>
      </sharedItems>
    </cacheField>
    <cacheField name="Product Class" numFmtId="0">
      <sharedItems count="6">
        <s v="Mood Stabilizers"/>
        <s v="Antibiotics"/>
        <s v="Analgesics"/>
        <s v="Antiseptics"/>
        <s v="Antipiretics"/>
        <s v="Antimalarial"/>
      </sharedItems>
    </cacheField>
    <cacheField name="Quantity" numFmtId="0">
      <sharedItems containsSemiMixedTypes="0" containsString="0" containsNumber="1" containsInteger="1" minValue="-72" maxValue="500" count="33">
        <n v="4"/>
        <n v="7"/>
        <n v="30"/>
        <n v="6"/>
        <n v="20"/>
        <n v="5"/>
        <n v="10"/>
        <n v="35"/>
        <n v="2"/>
        <n v="26"/>
        <n v="16"/>
        <n v="3"/>
        <n v="50"/>
        <n v="60"/>
        <n v="38"/>
        <n v="1"/>
        <n v="8"/>
        <n v="100"/>
        <n v="15"/>
        <n v="24"/>
        <n v="12"/>
        <n v="13"/>
        <n v="56"/>
        <n v="11"/>
        <n v="250"/>
        <n v="17"/>
        <n v="34"/>
        <n v="-10"/>
        <n v="500"/>
        <n v="40"/>
        <n v="-45"/>
        <n v="-72"/>
        <n v="117"/>
      </sharedItems>
    </cacheField>
    <cacheField name="Price" numFmtId="0">
      <sharedItems containsSemiMixedTypes="0" containsString="0" containsNumber="1" containsInteger="1" minValue="22" maxValue="794" count="165">
        <n v="368"/>
        <n v="591"/>
        <n v="66"/>
        <n v="435"/>
        <n v="458"/>
        <n v="123"/>
        <n v="536"/>
        <n v="742"/>
        <n v="551"/>
        <n v="243"/>
        <n v="762"/>
        <n v="249"/>
        <n v="785"/>
        <n v="286"/>
        <n v="487"/>
        <n v="605"/>
        <n v="548"/>
        <n v="288"/>
        <n v="414"/>
        <n v="307"/>
        <n v="421"/>
        <n v="765"/>
        <n v="215"/>
        <n v="689"/>
        <n v="24"/>
        <n v="502"/>
        <n v="511"/>
        <n v="653"/>
        <n v="191"/>
        <n v="692"/>
        <n v="164"/>
        <n v="114"/>
        <n v="26"/>
        <n v="452"/>
        <n v="604"/>
        <n v="768"/>
        <n v="763"/>
        <n v="682"/>
        <n v="106"/>
        <n v="122"/>
        <n v="60"/>
        <n v="488"/>
        <n v="482"/>
        <n v="391"/>
        <n v="75"/>
        <n v="347"/>
        <n v="99"/>
        <n v="149"/>
        <n v="778"/>
        <n v="424"/>
        <n v="722"/>
        <n v="373"/>
        <n v="686"/>
        <n v="206"/>
        <n v="201"/>
        <n v="179"/>
        <n v="497"/>
        <n v="269"/>
        <n v="284"/>
        <n v="624"/>
        <n v="746"/>
        <n v="628"/>
        <n v="137"/>
        <n v="627"/>
        <n v="713"/>
        <n v="610"/>
        <n v="794"/>
        <n v="659"/>
        <n v="385"/>
        <n v="298"/>
        <n v="318"/>
        <n v="154"/>
        <n v="708"/>
        <n v="121"/>
        <n v="470"/>
        <n v="647"/>
        <n v="25"/>
        <n v="182"/>
        <n v="130"/>
        <n v="655"/>
        <n v="390"/>
        <n v="782"/>
        <n v="492"/>
        <n v="520"/>
        <n v="767"/>
        <n v="613"/>
        <n v="311"/>
        <n v="611"/>
        <n v="773"/>
        <n v="529"/>
        <n v="401"/>
        <n v="173"/>
        <n v="248"/>
        <n v="187"/>
        <n v="681"/>
        <n v="535"/>
        <n v="141"/>
        <n v="513"/>
        <n v="361"/>
        <n v="334"/>
        <n v="631"/>
        <n v="80"/>
        <n v="34"/>
        <n v="400"/>
        <n v="140"/>
        <n v="113"/>
        <n v="408"/>
        <n v="319"/>
        <n v="345"/>
        <n v="375"/>
        <n v="612"/>
        <n v="590"/>
        <n v="445"/>
        <n v="301"/>
        <n v="73"/>
        <n v="343"/>
        <n v="35"/>
        <n v="664"/>
        <n v="420"/>
        <n v="180"/>
        <n v="416"/>
        <n v="377"/>
        <n v="780"/>
        <n v="172"/>
        <n v="438"/>
        <n v="304"/>
        <n v="162"/>
        <n v="595"/>
        <n v="634"/>
        <n v="474"/>
        <n v="33"/>
        <n v="578"/>
        <n v="621"/>
        <n v="409"/>
        <n v="688"/>
        <n v="404"/>
        <n v="585"/>
        <n v="726"/>
        <n v="490"/>
        <n v="516"/>
        <n v="469"/>
        <n v="262"/>
        <n v="64"/>
        <n v="518"/>
        <n v="542"/>
        <n v="153"/>
        <n v="710"/>
        <n v="74"/>
        <n v="705"/>
        <n v="450"/>
        <n v="115"/>
        <n v="47"/>
        <n v="104"/>
        <n v="402"/>
        <n v="323"/>
        <n v="555"/>
        <n v="618"/>
        <n v="478"/>
        <n v="430"/>
        <n v="22"/>
        <n v="663"/>
        <n v="678"/>
        <n v="459"/>
        <n v="549"/>
        <n v="303"/>
      </sharedItems>
    </cacheField>
    <cacheField name="Sales" numFmtId="0">
      <sharedItems containsSemiMixedTypes="0" containsString="0" containsNumber="1" containsInteger="1" minValue="-21816" maxValue="234500"/>
    </cacheField>
    <cacheField name="Month" numFmtId="0">
      <sharedItems count="12">
        <s v="January"/>
        <s v="February"/>
        <s v="September"/>
        <s v="March"/>
        <s v="December"/>
        <s v="July"/>
        <s v="April"/>
        <s v="May"/>
        <s v="October"/>
        <s v="August"/>
        <s v="November"/>
        <s v="June"/>
      </sharedItems>
    </cacheField>
    <cacheField name="Year" numFmtId="0">
      <sharedItems containsSemiMixedTypes="0" containsString="0" containsNumber="1" containsInteger="1" minValue="2017" maxValue="2018" count="2">
        <n v="2018"/>
        <n v="2017"/>
      </sharedItems>
    </cacheField>
    <cacheField name="Name of Sales Rep" numFmtId="0">
      <sharedItems/>
    </cacheField>
    <cacheField name="Manager" numFmtId="0">
      <sharedItems/>
    </cacheField>
    <cacheField name="Sales Tea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s v="Gottlieb-Cruickshank  "/>
    <s v="Zieme, Doyle and Kunze "/>
    <s v="Lublin"/>
    <x v="0"/>
    <n v="51.2333"/>
    <n v="22.566700000000001"/>
    <s v="Hospital"/>
    <s v="Private"/>
    <x v="0"/>
    <x v="0"/>
    <x v="0"/>
    <x v="0"/>
    <n v="1472"/>
    <x v="0"/>
    <x v="0"/>
    <s v="Mary Gerrard"/>
    <s v="Britanny Bold"/>
    <s v="Delta"/>
  </r>
  <r>
    <s v="Gottlieb-Cruickshank  "/>
    <s v="Feest PLC "/>
    <s v="Świecie"/>
    <x v="0"/>
    <n v="53.416699999999999"/>
    <n v="18.433299999999999"/>
    <s v="Pharmacy"/>
    <s v="Retail"/>
    <x v="1"/>
    <x v="1"/>
    <x v="1"/>
    <x v="1"/>
    <n v="4137"/>
    <x v="0"/>
    <x v="0"/>
    <s v="Jessica Smith"/>
    <s v="Britanny Bold"/>
    <s v="Delta"/>
  </r>
  <r>
    <s v="Gottlieb-Cruickshank  "/>
    <s v="Medhurst-Beer Pharmaceutical Limited"/>
    <s v="Rybnik"/>
    <x v="0"/>
    <n v="50.083300000000001"/>
    <n v="18.5"/>
    <s v="Pharmacy"/>
    <s v="Institution"/>
    <x v="2"/>
    <x v="1"/>
    <x v="2"/>
    <x v="2"/>
    <n v="1980"/>
    <x v="0"/>
    <x v="0"/>
    <s v="Steve Pepple"/>
    <s v="Tracy Banks"/>
    <s v="Bravo"/>
  </r>
  <r>
    <s v="Gottlieb-Cruickshank  "/>
    <s v="Barton Ltd Pharma Plc"/>
    <s v="Czeladź"/>
    <x v="0"/>
    <n v="50.333300000000001"/>
    <n v="19.083300000000001"/>
    <s v="Hospital"/>
    <s v="Private"/>
    <x v="3"/>
    <x v="2"/>
    <x v="3"/>
    <x v="3"/>
    <n v="2610"/>
    <x v="0"/>
    <x v="0"/>
    <s v="Mary Gerrard"/>
    <s v="Britanny Bold"/>
    <s v="Delta"/>
  </r>
  <r>
    <s v="Gottlieb-Cruickshank  "/>
    <s v="Keeling LLC Pharmacy"/>
    <s v="Olsztyn"/>
    <x v="0"/>
    <n v="53.78"/>
    <n v="20.494199999999999"/>
    <s v="Pharmacy"/>
    <s v="Retail"/>
    <x v="4"/>
    <x v="2"/>
    <x v="4"/>
    <x v="4"/>
    <n v="9160"/>
    <x v="1"/>
    <x v="0"/>
    <s v="Anne Wu"/>
    <s v="Britanny Bold"/>
    <s v="Delta"/>
  </r>
  <r>
    <s v="Gottlieb-Cruickshank  "/>
    <s v="Runte-Marquardt Pharmaceutical Ltd"/>
    <s v="Olecko"/>
    <x v="0"/>
    <n v="54.033299999999997"/>
    <n v="22.5"/>
    <s v="Hospital"/>
    <s v="Private"/>
    <x v="5"/>
    <x v="0"/>
    <x v="5"/>
    <x v="5"/>
    <n v="615"/>
    <x v="2"/>
    <x v="0"/>
    <s v="Thompson Crawford"/>
    <s v="James Goodwill"/>
    <s v="Alfa"/>
  </r>
  <r>
    <s v="Gottlieb-Cruickshank  "/>
    <s v="Blick, Pacocha and Schowalter "/>
    <s v="Inowrocław"/>
    <x v="0"/>
    <n v="52.7958"/>
    <n v="18.261099999999999"/>
    <s v="Pharmacy"/>
    <s v="Retail"/>
    <x v="6"/>
    <x v="2"/>
    <x v="4"/>
    <x v="6"/>
    <n v="10720"/>
    <x v="0"/>
    <x v="0"/>
    <s v="Sheila Stones"/>
    <s v="Britanny Bold"/>
    <s v="Delta"/>
  </r>
  <r>
    <s v="Gottlieb-Cruickshank  "/>
    <s v="Leuschke PLC Pharmacy"/>
    <s v="Ciechanów"/>
    <x v="0"/>
    <n v="52.881700000000002"/>
    <n v="20.610600000000002"/>
    <s v="Pharmacy"/>
    <s v="Retail"/>
    <x v="7"/>
    <x v="0"/>
    <x v="5"/>
    <x v="7"/>
    <n v="3710"/>
    <x v="0"/>
    <x v="0"/>
    <s v="Mary Gerrard"/>
    <s v="Britanny Bold"/>
    <s v="Delta"/>
  </r>
  <r>
    <s v="Gottlieb-Cruickshank  "/>
    <s v="Miller-Satterfield Pharma Plc"/>
    <s v="Nidzica"/>
    <x v="0"/>
    <n v="53.3583"/>
    <n v="20.425000000000001"/>
    <s v="Hospital"/>
    <s v="Private"/>
    <x v="8"/>
    <x v="0"/>
    <x v="0"/>
    <x v="8"/>
    <n v="2204"/>
    <x v="0"/>
    <x v="0"/>
    <s v="Stella Given"/>
    <s v="Alisha Cordwell"/>
    <s v="Charlie"/>
  </r>
  <r>
    <s v="Gottlieb-Cruickshank  "/>
    <s v="Bashirian-Kassulke Pharma Plc"/>
    <s v="Kraków"/>
    <x v="0"/>
    <n v="50.061399999999999"/>
    <n v="19.937200000000001"/>
    <s v="Hospital"/>
    <s v="Private"/>
    <x v="9"/>
    <x v="2"/>
    <x v="6"/>
    <x v="9"/>
    <n v="2430"/>
    <x v="0"/>
    <x v="0"/>
    <s v="Morris Garcia"/>
    <s v="Tracy Banks"/>
    <s v="Bravo"/>
  </r>
  <r>
    <s v="Gottlieb-Cruickshank  "/>
    <s v="Wolff Group Pharm"/>
    <s v="Gubin"/>
    <x v="0"/>
    <n v="51.95"/>
    <n v="14.7333"/>
    <s v="Hospital"/>
    <s v="Government"/>
    <x v="10"/>
    <x v="0"/>
    <x v="7"/>
    <x v="10"/>
    <n v="26670"/>
    <x v="3"/>
    <x v="0"/>
    <s v="Erica Jones"/>
    <s v="James Goodwill"/>
    <s v="Alfa"/>
  </r>
  <r>
    <s v="Gottlieb-Cruickshank  "/>
    <s v="Denesik, Walter and Beatty Pharma Plc"/>
    <s v="Ostrów Mazowiecka"/>
    <x v="0"/>
    <n v="52.8"/>
    <n v="21.9"/>
    <s v="Pharmacy"/>
    <s v="Institution"/>
    <x v="11"/>
    <x v="3"/>
    <x v="0"/>
    <x v="11"/>
    <n v="996"/>
    <x v="0"/>
    <x v="0"/>
    <s v="Abigail Thompson"/>
    <s v="Tracy Banks"/>
    <s v="Bravo"/>
  </r>
  <r>
    <s v="Gottlieb-Cruickshank  "/>
    <s v="Breitenberg-Kuhn Pharmacy"/>
    <s v="Radom"/>
    <x v="0"/>
    <n v="51.403599999999997"/>
    <n v="21.156700000000001"/>
    <s v="Hospital"/>
    <s v="Private"/>
    <x v="12"/>
    <x v="0"/>
    <x v="5"/>
    <x v="12"/>
    <n v="3925"/>
    <x v="4"/>
    <x v="0"/>
    <s v="Abigail Thompson"/>
    <s v="Tracy Banks"/>
    <s v="Bravo"/>
  </r>
  <r>
    <s v="Gottlieb-Cruickshank  "/>
    <s v="McClure, Zemlak and Dibbert Pharma Plc"/>
    <s v="Gdańsk"/>
    <x v="0"/>
    <n v="54.366700000000002"/>
    <n v="18.633299999999998"/>
    <s v="Pharmacy"/>
    <s v="Retail"/>
    <x v="13"/>
    <x v="4"/>
    <x v="3"/>
    <x v="13"/>
    <n v="1716"/>
    <x v="3"/>
    <x v="0"/>
    <s v="Jessica Smith"/>
    <s v="Britanny Bold"/>
    <s v="Delta"/>
  </r>
  <r>
    <s v="Gottlieb-Cruickshank  "/>
    <s v="Block-Romaguera Pharmaceutical Limited"/>
    <s v="Tarnowskie Góry"/>
    <x v="0"/>
    <n v="50.45"/>
    <n v="18.866700000000002"/>
    <s v="Hospital"/>
    <s v="Private"/>
    <x v="14"/>
    <x v="4"/>
    <x v="1"/>
    <x v="14"/>
    <n v="3409"/>
    <x v="0"/>
    <x v="0"/>
    <s v="Anne Wu"/>
    <s v="Britanny Bold"/>
    <s v="Delta"/>
  </r>
  <r>
    <s v="Gottlieb-Cruickshank  "/>
    <s v="Hahn, Rutherford and Gislason Pharmaceutical Limited"/>
    <s v="Łaziska Górne"/>
    <x v="0"/>
    <n v="50.15"/>
    <n v="18.833300000000001"/>
    <s v="Hospital"/>
    <s v="Private"/>
    <x v="15"/>
    <x v="2"/>
    <x v="5"/>
    <x v="15"/>
    <n v="3025"/>
    <x v="0"/>
    <x v="0"/>
    <s v="Morris Garcia"/>
    <s v="Tracy Banks"/>
    <s v="Bravo"/>
  </r>
  <r>
    <s v="Gottlieb-Cruickshank  "/>
    <s v="D'Amore and Sons "/>
    <s v="Wągrowiec"/>
    <x v="0"/>
    <n v="52.8"/>
    <n v="17.2"/>
    <s v="Hospital"/>
    <s v="Private"/>
    <x v="16"/>
    <x v="4"/>
    <x v="5"/>
    <x v="16"/>
    <n v="2740"/>
    <x v="4"/>
    <x v="0"/>
    <s v="Daniel Gates"/>
    <s v="Alisha Cordwell"/>
    <s v="Charlie"/>
  </r>
  <r>
    <s v="Gottlieb-Cruickshank  "/>
    <s v="Koss Ltd Pharmaceutical Limited"/>
    <s v="Lwówek Śląski"/>
    <x v="0"/>
    <n v="51.116700000000002"/>
    <n v="15.583299999999999"/>
    <s v="Hospital"/>
    <s v="Private"/>
    <x v="17"/>
    <x v="3"/>
    <x v="2"/>
    <x v="17"/>
    <n v="8640"/>
    <x v="0"/>
    <x v="0"/>
    <s v="Morris Garcia"/>
    <s v="Tracy Banks"/>
    <s v="Bravo"/>
  </r>
  <r>
    <s v="Gottlieb-Cruickshank  "/>
    <s v="Fadel-West "/>
    <s v="Złotoryja"/>
    <x v="0"/>
    <n v="51.126399999999997"/>
    <n v="15.9198"/>
    <s v="Pharmacy"/>
    <s v="Institution"/>
    <x v="18"/>
    <x v="2"/>
    <x v="8"/>
    <x v="18"/>
    <n v="828"/>
    <x v="0"/>
    <x v="0"/>
    <s v="Anne Wu"/>
    <s v="Britanny Bold"/>
    <s v="Delta"/>
  </r>
  <r>
    <s v="Gottlieb-Cruickshank  "/>
    <s v="Lindgren-Simonis Pharm"/>
    <s v="Biskupiec"/>
    <x v="0"/>
    <n v="53.864699999999999"/>
    <n v="20.956900000000001"/>
    <s v="Pharmacy"/>
    <s v="Retail"/>
    <x v="19"/>
    <x v="3"/>
    <x v="8"/>
    <x v="19"/>
    <n v="614"/>
    <x v="0"/>
    <x v="0"/>
    <s v="Alan Ray"/>
    <s v="James Goodwill"/>
    <s v="Alfa"/>
  </r>
  <r>
    <s v="Gottlieb-Cruickshank  "/>
    <s v="Spinka, Schowalter and Conn Pharmaceutical Limited"/>
    <s v="Biłgoraj"/>
    <x v="0"/>
    <n v="50.55"/>
    <n v="22.7333"/>
    <s v="Pharmacy"/>
    <s v="Institution"/>
    <x v="20"/>
    <x v="4"/>
    <x v="5"/>
    <x v="20"/>
    <n v="2105"/>
    <x v="1"/>
    <x v="0"/>
    <s v="Jimmy Grey"/>
    <s v="Alisha Cordwell"/>
    <s v="Charlie"/>
  </r>
  <r>
    <s v="Gottlieb-Cruickshank  "/>
    <s v="Will and Sons Pharma Plc"/>
    <s v="Gniew"/>
    <x v="0"/>
    <n v="53.833300000000001"/>
    <n v="18.833300000000001"/>
    <s v="Pharmacy"/>
    <s v="Retail"/>
    <x v="21"/>
    <x v="3"/>
    <x v="4"/>
    <x v="21"/>
    <n v="15300"/>
    <x v="0"/>
    <x v="0"/>
    <s v="Abigail Thompson"/>
    <s v="Tracy Banks"/>
    <s v="Bravo"/>
  </r>
  <r>
    <s v="Gottlieb-Cruickshank  "/>
    <s v="Jakubowski Inc Pharmaceutical Limited"/>
    <s v="Bolesławiec"/>
    <x v="0"/>
    <n v="51.2667"/>
    <n v="15.566700000000001"/>
    <s v="Pharmacy"/>
    <s v="Retail"/>
    <x v="22"/>
    <x v="1"/>
    <x v="5"/>
    <x v="22"/>
    <n v="1075"/>
    <x v="0"/>
    <x v="0"/>
    <s v="Jessica Smith"/>
    <s v="Britanny Bold"/>
    <s v="Delta"/>
  </r>
  <r>
    <s v="Gottlieb-Cruickshank  "/>
    <s v="Schaden-Hirthe Pharmaceutical Ltd"/>
    <s v="Świdnica"/>
    <x v="0"/>
    <n v="50.843800000000002"/>
    <n v="16.488600000000002"/>
    <s v="Pharmacy"/>
    <s v="Institution"/>
    <x v="23"/>
    <x v="3"/>
    <x v="9"/>
    <x v="23"/>
    <n v="17914"/>
    <x v="0"/>
    <x v="0"/>
    <s v="Morris Garcia"/>
    <s v="Tracy Banks"/>
    <s v="Bravo"/>
  </r>
  <r>
    <s v="Gottlieb-Cruickshank  "/>
    <s v="Mraz Group Pharmacy"/>
    <s v="Piastów"/>
    <x v="0"/>
    <n v="52.183300000000003"/>
    <n v="20.85"/>
    <s v="Hospital"/>
    <s v="Private"/>
    <x v="5"/>
    <x v="0"/>
    <x v="10"/>
    <x v="5"/>
    <n v="1968"/>
    <x v="0"/>
    <x v="0"/>
    <s v="Stella Given"/>
    <s v="Alisha Cordwell"/>
    <s v="Charlie"/>
  </r>
  <r>
    <s v="Gottlieb-Cruickshank  "/>
    <s v="Nader-Gaylord Pharmaceutical Ltd"/>
    <s v="Łódź"/>
    <x v="0"/>
    <n v="51.776899999999998"/>
    <n v="19.454699999999999"/>
    <s v="Pharmacy"/>
    <s v="Retail"/>
    <x v="24"/>
    <x v="5"/>
    <x v="7"/>
    <x v="24"/>
    <n v="840"/>
    <x v="0"/>
    <x v="0"/>
    <s v="Stella Given"/>
    <s v="Alisha Cordwell"/>
    <s v="Charlie"/>
  </r>
  <r>
    <s v="Gottlieb-Cruickshank  "/>
    <s v="Heidenreich Group Pharmaceutical Ltd"/>
    <s v="Rzeszów"/>
    <x v="0"/>
    <n v="50.05"/>
    <n v="22"/>
    <s v="Pharmacy"/>
    <s v="Institution"/>
    <x v="25"/>
    <x v="3"/>
    <x v="8"/>
    <x v="25"/>
    <n v="1004"/>
    <x v="0"/>
    <x v="0"/>
    <s v="Daniel Gates"/>
    <s v="Alisha Cordwell"/>
    <s v="Charlie"/>
  </r>
  <r>
    <s v="Gottlieb-Cruickshank  "/>
    <s v="Mante-Grady Pharm"/>
    <s v="Lubaczów"/>
    <x v="0"/>
    <n v="50.1556"/>
    <n v="23.123000000000001"/>
    <s v="Pharmacy"/>
    <s v="Institution"/>
    <x v="26"/>
    <x v="5"/>
    <x v="11"/>
    <x v="26"/>
    <n v="1533"/>
    <x v="0"/>
    <x v="0"/>
    <s v="Jessica Smith"/>
    <s v="Britanny Bold"/>
    <s v="Delta"/>
  </r>
  <r>
    <s v="Gottlieb-Cruickshank  "/>
    <s v="Feest-Kshlerin Pharmaceutical Ltd"/>
    <s v="Świdnik"/>
    <x v="0"/>
    <n v="51.2333"/>
    <n v="22.7"/>
    <s v="Pharmacy"/>
    <s v="Institution"/>
    <x v="27"/>
    <x v="0"/>
    <x v="12"/>
    <x v="27"/>
    <n v="32650"/>
    <x v="5"/>
    <x v="0"/>
    <s v="Abigail Thompson"/>
    <s v="Tracy Banks"/>
    <s v="Bravo"/>
  </r>
  <r>
    <s v="Gottlieb-Cruickshank  "/>
    <s v="Wolff Group Pharm"/>
    <s v="Gubin"/>
    <x v="0"/>
    <n v="51.95"/>
    <n v="14.7333"/>
    <s v="Hospital"/>
    <s v="Government"/>
    <x v="28"/>
    <x v="2"/>
    <x v="3"/>
    <x v="28"/>
    <n v="1146"/>
    <x v="0"/>
    <x v="0"/>
    <s v="Sheila Stones"/>
    <s v="Britanny Bold"/>
    <s v="Delta"/>
  </r>
  <r>
    <s v="Gottlieb-Cruickshank  "/>
    <s v="Leuschke, Waters and Schowalter Pharmaceutical Ltd"/>
    <s v="Krapkowice"/>
    <x v="0"/>
    <n v="50.475099999999998"/>
    <n v="17.965399999999999"/>
    <s v="Pharmacy"/>
    <s v="Institution"/>
    <x v="29"/>
    <x v="3"/>
    <x v="0"/>
    <x v="29"/>
    <n v="2768"/>
    <x v="0"/>
    <x v="0"/>
    <s v="Daniel Gates"/>
    <s v="Alisha Cordwell"/>
    <s v="Charlie"/>
  </r>
  <r>
    <s v="Gottlieb-Cruickshank  "/>
    <s v="Hirthe, Williamson and Macejkovic Pharma Plc"/>
    <s v="Brzeg"/>
    <x v="0"/>
    <n v="50.866700000000002"/>
    <n v="17.4833"/>
    <s v="Hospital"/>
    <s v="Government"/>
    <x v="30"/>
    <x v="5"/>
    <x v="3"/>
    <x v="30"/>
    <n v="984"/>
    <x v="0"/>
    <x v="0"/>
    <s v="Mary Gerrard"/>
    <s v="Britanny Bold"/>
    <s v="Delta"/>
  </r>
  <r>
    <s v="Gottlieb-Cruickshank  "/>
    <s v="Emard-O'Connell Pharmacy"/>
    <s v="Zakopane"/>
    <x v="0"/>
    <n v="49.299399999999999"/>
    <n v="19.951899999999998"/>
    <s v="Pharmacy"/>
    <s v="Retail"/>
    <x v="8"/>
    <x v="0"/>
    <x v="13"/>
    <x v="8"/>
    <n v="33060"/>
    <x v="0"/>
    <x v="0"/>
    <s v="Mary Gerrard"/>
    <s v="Britanny Bold"/>
    <s v="Delta"/>
  </r>
  <r>
    <s v="Gottlieb-Cruickshank  "/>
    <s v="Feest PLC "/>
    <s v="Świecie"/>
    <x v="0"/>
    <n v="53.416699999999999"/>
    <n v="18.433299999999999"/>
    <s v="Pharmacy"/>
    <s v="Retail"/>
    <x v="28"/>
    <x v="2"/>
    <x v="14"/>
    <x v="28"/>
    <n v="7258"/>
    <x v="2"/>
    <x v="0"/>
    <s v="Sheila Stones"/>
    <s v="Britanny Bold"/>
    <s v="Delta"/>
  </r>
  <r>
    <s v="Gottlieb-Cruickshank  "/>
    <s v="Carter-Conn Pharma Plc"/>
    <s v="Brwinów"/>
    <x v="0"/>
    <n v="52.1417"/>
    <n v="20.716699999999999"/>
    <s v="Hospital"/>
    <s v="Private"/>
    <x v="31"/>
    <x v="1"/>
    <x v="5"/>
    <x v="31"/>
    <n v="570"/>
    <x v="0"/>
    <x v="0"/>
    <s v="Jessica Smith"/>
    <s v="Britanny Bold"/>
    <s v="Delta"/>
  </r>
  <r>
    <s v="Gottlieb-Cruickshank  "/>
    <s v="Heathcote, Grant and Witting Pharm"/>
    <s v="Bielsko-Biała"/>
    <x v="0"/>
    <n v="49.822499999999998"/>
    <n v="19.0444"/>
    <s v="Pharmacy"/>
    <s v="Institution"/>
    <x v="32"/>
    <x v="2"/>
    <x v="5"/>
    <x v="32"/>
    <n v="130"/>
    <x v="0"/>
    <x v="0"/>
    <s v="Erica Jones"/>
    <s v="James Goodwill"/>
    <s v="Alfa"/>
  </r>
  <r>
    <s v="Gottlieb-Cruickshank  "/>
    <s v="Boyer and Sons Pharmaceutical Limited"/>
    <s v="Wałcz"/>
    <x v="0"/>
    <n v="53.2667"/>
    <n v="16.466699999999999"/>
    <s v="Hospital"/>
    <s v="Government"/>
    <x v="33"/>
    <x v="0"/>
    <x v="2"/>
    <x v="33"/>
    <n v="13560"/>
    <x v="0"/>
    <x v="0"/>
    <s v="Sheila Stones"/>
    <s v="Britanny Bold"/>
    <s v="Delta"/>
  </r>
  <r>
    <s v="Gottlieb-Cruickshank  "/>
    <s v="Rowe PLC Pharmaceutical Ltd"/>
    <s v="Kęty"/>
    <x v="0"/>
    <n v="49.882100000000001"/>
    <n v="19.223299999999998"/>
    <s v="Pharmacy"/>
    <s v="Institution"/>
    <x v="34"/>
    <x v="0"/>
    <x v="15"/>
    <x v="34"/>
    <n v="604"/>
    <x v="0"/>
    <x v="0"/>
    <s v="Steve Pepple"/>
    <s v="Tracy Banks"/>
    <s v="Bravo"/>
  </r>
  <r>
    <s v="Gottlieb-Cruickshank  "/>
    <s v="McCullough LLC Pharma Plc"/>
    <s v="Częstochowa"/>
    <x v="0"/>
    <n v="50.8"/>
    <n v="19.116700000000002"/>
    <s v="Pharmacy"/>
    <s v="Retail"/>
    <x v="35"/>
    <x v="4"/>
    <x v="8"/>
    <x v="35"/>
    <n v="1536"/>
    <x v="0"/>
    <x v="0"/>
    <s v="Jessica Smith"/>
    <s v="Britanny Bold"/>
    <s v="Delta"/>
  </r>
  <r>
    <s v="Gottlieb-Cruickshank  "/>
    <s v="Grimes, Jacobs and Durgan Pharm"/>
    <s v="Bełchatów"/>
    <x v="0"/>
    <n v="51.366700000000002"/>
    <n v="19.366700000000002"/>
    <s v="Hospital"/>
    <s v="Private"/>
    <x v="1"/>
    <x v="1"/>
    <x v="0"/>
    <x v="1"/>
    <n v="2364"/>
    <x v="0"/>
    <x v="0"/>
    <s v="Alan Ray"/>
    <s v="James Goodwill"/>
    <s v="Alfa"/>
  </r>
  <r>
    <s v="Gottlieb-Cruickshank  "/>
    <s v="Balistreri, Torp and Gulgowski Pharmacy"/>
    <s v="Chełmża"/>
    <x v="0"/>
    <n v="53.2"/>
    <n v="18.600000000000001"/>
    <s v="Hospital"/>
    <s v="Private"/>
    <x v="36"/>
    <x v="2"/>
    <x v="8"/>
    <x v="36"/>
    <n v="1526"/>
    <x v="0"/>
    <x v="0"/>
    <s v="Sheila Stones"/>
    <s v="Britanny Bold"/>
    <s v="Delta"/>
  </r>
  <r>
    <s v="Gottlieb-Cruickshank  "/>
    <s v="Will and Sons Pharmaceutical Limited"/>
    <s v="Poznań"/>
    <x v="0"/>
    <n v="52.4"/>
    <n v="16.916699999999999"/>
    <s v="Hospital"/>
    <s v="Government"/>
    <x v="37"/>
    <x v="1"/>
    <x v="8"/>
    <x v="4"/>
    <n v="916"/>
    <x v="6"/>
    <x v="0"/>
    <s v="Abigail Thompson"/>
    <s v="Tracy Banks"/>
    <s v="Bravo"/>
  </r>
  <r>
    <s v="Gottlieb-Cruickshank  "/>
    <s v="Osinski-Collins Pharmaceutical Ltd"/>
    <s v="Elbląg"/>
    <x v="0"/>
    <n v="54.166699999999999"/>
    <n v="19.399999999999999"/>
    <s v="Pharmacy"/>
    <s v="Institution"/>
    <x v="0"/>
    <x v="0"/>
    <x v="8"/>
    <x v="0"/>
    <n v="736"/>
    <x v="0"/>
    <x v="0"/>
    <s v="Alan Ray"/>
    <s v="James Goodwill"/>
    <s v="Alfa"/>
  </r>
  <r>
    <s v="Gottlieb-Cruickshank  "/>
    <s v="Parisian, Hagenes and Skiles Pharma Plc"/>
    <s v="Ciechocinek"/>
    <x v="0"/>
    <n v="52.883299999999998"/>
    <n v="18.783300000000001"/>
    <s v="Pharmacy"/>
    <s v="Retail"/>
    <x v="38"/>
    <x v="5"/>
    <x v="11"/>
    <x v="37"/>
    <n v="2046"/>
    <x v="0"/>
    <x v="0"/>
    <s v="Mary Gerrard"/>
    <s v="Britanny Bold"/>
    <s v="Delta"/>
  </r>
  <r>
    <s v="Gottlieb-Cruickshank  "/>
    <s v="Medhurst-Beer Pharmaceutical Limited"/>
    <s v="Rybnik"/>
    <x v="0"/>
    <n v="50.083300000000001"/>
    <n v="18.5"/>
    <s v="Pharmacy"/>
    <s v="Institution"/>
    <x v="39"/>
    <x v="0"/>
    <x v="8"/>
    <x v="38"/>
    <n v="212"/>
    <x v="0"/>
    <x v="0"/>
    <s v="Daniel Gates"/>
    <s v="Alisha Cordwell"/>
    <s v="Charlie"/>
  </r>
  <r>
    <s v="Gottlieb-Cruickshank  "/>
    <s v="Runte-Marquardt Pharmaceutical Ltd"/>
    <s v="Olecko"/>
    <x v="0"/>
    <n v="54.033299999999997"/>
    <n v="22.5"/>
    <s v="Hospital"/>
    <s v="Private"/>
    <x v="40"/>
    <x v="1"/>
    <x v="15"/>
    <x v="39"/>
    <n v="122"/>
    <x v="7"/>
    <x v="0"/>
    <s v="Mary Gerrard"/>
    <s v="Britanny Bold"/>
    <s v="Delta"/>
  </r>
  <r>
    <s v="Gottlieb-Cruickshank  "/>
    <s v="Schmitt, Berge and Haley Pharma Plc"/>
    <s v="Kłodzko"/>
    <x v="0"/>
    <n v="50.437800000000003"/>
    <n v="16.652799999999999"/>
    <s v="Hospital"/>
    <s v="Private"/>
    <x v="41"/>
    <x v="2"/>
    <x v="0"/>
    <x v="40"/>
    <n v="240"/>
    <x v="0"/>
    <x v="0"/>
    <s v="Alan Ray"/>
    <s v="James Goodwill"/>
    <s v="Alfa"/>
  </r>
  <r>
    <s v="Gottlieb-Cruickshank  "/>
    <s v="Funk, Ratke and Heaney Pharmacy"/>
    <s v="Prabuty"/>
    <x v="0"/>
    <n v="53.755800000000001"/>
    <n v="19.197500000000002"/>
    <s v="Hospital"/>
    <s v="Government"/>
    <x v="42"/>
    <x v="0"/>
    <x v="8"/>
    <x v="41"/>
    <n v="976"/>
    <x v="0"/>
    <x v="0"/>
    <s v="Sheila Stones"/>
    <s v="Britanny Bold"/>
    <s v="Delta"/>
  </r>
  <r>
    <s v="Gottlieb-Cruickshank  "/>
    <s v="Walsh-Brown Pharmacy"/>
    <s v="Chorzów"/>
    <x v="0"/>
    <n v="50.3"/>
    <n v="18.95"/>
    <s v="Pharmacy"/>
    <s v="Retail"/>
    <x v="43"/>
    <x v="5"/>
    <x v="16"/>
    <x v="42"/>
    <n v="3856"/>
    <x v="5"/>
    <x v="0"/>
    <s v="Stella Given"/>
    <s v="Alisha Cordwell"/>
    <s v="Charlie"/>
  </r>
  <r>
    <s v="Gottlieb-Cruickshank  "/>
    <s v="Schowalter, Runolfsson and VonRueden Pharmaceutical Ltd"/>
    <s v="Grudziądz"/>
    <x v="0"/>
    <n v="53.4925"/>
    <n v="18.7761"/>
    <s v="Pharmacy"/>
    <s v="Retail"/>
    <x v="44"/>
    <x v="0"/>
    <x v="3"/>
    <x v="43"/>
    <n v="2346"/>
    <x v="0"/>
    <x v="0"/>
    <s v="Alan Ray"/>
    <s v="James Goodwill"/>
    <s v="Alfa"/>
  </r>
  <r>
    <s v="Gottlieb-Cruickshank  "/>
    <s v="Beahan, Littel and Ondricka Pharmacy"/>
    <s v="Łęczyca"/>
    <x v="0"/>
    <n v="52.058300000000003"/>
    <n v="19.2"/>
    <s v="Pharmacy"/>
    <s v="Institution"/>
    <x v="45"/>
    <x v="5"/>
    <x v="6"/>
    <x v="44"/>
    <n v="750"/>
    <x v="0"/>
    <x v="0"/>
    <s v="Steve Pepple"/>
    <s v="Tracy Banks"/>
    <s v="Bravo"/>
  </r>
  <r>
    <s v="Gottlieb-Cruickshank  "/>
    <s v="Veum-Kerluke Pharmacy"/>
    <s v="Człuchów"/>
    <x v="0"/>
    <n v="53.65"/>
    <n v="17.366700000000002"/>
    <s v="Pharmacy"/>
    <s v="Retail"/>
    <x v="46"/>
    <x v="3"/>
    <x v="6"/>
    <x v="45"/>
    <n v="3470"/>
    <x v="0"/>
    <x v="0"/>
    <s v="Mary Gerrard"/>
    <s v="Britanny Bold"/>
    <s v="Delta"/>
  </r>
  <r>
    <s v="Gottlieb-Cruickshank  "/>
    <s v="Barton Ltd Pharma Plc"/>
    <s v="Czeladź"/>
    <x v="0"/>
    <n v="50.333300000000001"/>
    <n v="19.083300000000001"/>
    <s v="Hospital"/>
    <s v="Private"/>
    <x v="47"/>
    <x v="0"/>
    <x v="6"/>
    <x v="46"/>
    <n v="990"/>
    <x v="0"/>
    <x v="0"/>
    <s v="Jimmy Grey"/>
    <s v="Alisha Cordwell"/>
    <s v="Charlie"/>
  </r>
  <r>
    <s v="Gottlieb-Cruickshank  "/>
    <s v="Doyle-Tillman Pharmaceutical Ltd"/>
    <s v="Dęblin"/>
    <x v="0"/>
    <n v="51.566699999999997"/>
    <n v="21.8614"/>
    <s v="Hospital"/>
    <s v="Private"/>
    <x v="14"/>
    <x v="4"/>
    <x v="16"/>
    <x v="14"/>
    <n v="3896"/>
    <x v="0"/>
    <x v="0"/>
    <s v="Thompson Crawford"/>
    <s v="James Goodwill"/>
    <s v="Alfa"/>
  </r>
  <r>
    <s v="Gottlieb-Cruickshank  "/>
    <s v="Schaden-Hirthe Pharmaceutical Ltd"/>
    <s v="Świdnica"/>
    <x v="0"/>
    <n v="50.843800000000002"/>
    <n v="16.488600000000002"/>
    <s v="Pharmacy"/>
    <s v="Institution"/>
    <x v="48"/>
    <x v="5"/>
    <x v="16"/>
    <x v="47"/>
    <n v="1192"/>
    <x v="0"/>
    <x v="0"/>
    <s v="Jessica Smith"/>
    <s v="Britanny Bold"/>
    <s v="Delta"/>
  </r>
  <r>
    <s v="Gottlieb-Cruickshank  "/>
    <s v="Ondricka Ltd Pharmacy"/>
    <s v="Świnoujście"/>
    <x v="0"/>
    <n v="53.916699999999999"/>
    <n v="14.25"/>
    <s v="Hospital"/>
    <s v="Government"/>
    <x v="49"/>
    <x v="2"/>
    <x v="15"/>
    <x v="48"/>
    <n v="778"/>
    <x v="0"/>
    <x v="0"/>
    <s v="Daniel Gates"/>
    <s v="Alisha Cordwell"/>
    <s v="Charlie"/>
  </r>
  <r>
    <s v="Gottlieb-Cruickshank  "/>
    <s v="Raynor-Graham Pharmaceutical Limited"/>
    <s v="Gorzów Wielkopolski"/>
    <x v="0"/>
    <n v="52.7333"/>
    <n v="15.25"/>
    <s v="Pharmacy"/>
    <s v="Institution"/>
    <x v="34"/>
    <x v="0"/>
    <x v="4"/>
    <x v="34"/>
    <n v="12080"/>
    <x v="0"/>
    <x v="0"/>
    <s v="Jimmy Grey"/>
    <s v="Alisha Cordwell"/>
    <s v="Charlie"/>
  </r>
  <r>
    <s v="Gottlieb-Cruickshank  "/>
    <s v="Koss-Beier "/>
    <s v="Nakło nad Notecią"/>
    <x v="0"/>
    <n v="53.142099999999999"/>
    <n v="17.601800000000001"/>
    <s v="Pharmacy"/>
    <s v="Retail"/>
    <x v="49"/>
    <x v="2"/>
    <x v="4"/>
    <x v="48"/>
    <n v="15560"/>
    <x v="0"/>
    <x v="0"/>
    <s v="Erica Jones"/>
    <s v="James Goodwill"/>
    <s v="Alfa"/>
  </r>
  <r>
    <s v="Gottlieb-Cruickshank  "/>
    <s v="Johnson, Friesen and Torphy Pharma Plc"/>
    <s v="Gryfino"/>
    <x v="0"/>
    <n v="53.252400000000002"/>
    <n v="14.488300000000001"/>
    <s v="Hospital"/>
    <s v="Government"/>
    <x v="50"/>
    <x v="1"/>
    <x v="11"/>
    <x v="49"/>
    <n v="1272"/>
    <x v="0"/>
    <x v="0"/>
    <s v="Morris Garcia"/>
    <s v="Tracy Banks"/>
    <s v="Bravo"/>
  </r>
  <r>
    <s v="Gottlieb-Cruickshank  "/>
    <s v="Koch-Osinski Pharm"/>
    <s v="Sandomierz"/>
    <x v="0"/>
    <n v="50.683300000000003"/>
    <n v="21.75"/>
    <s v="Hospital"/>
    <s v="Government"/>
    <x v="7"/>
    <x v="0"/>
    <x v="6"/>
    <x v="7"/>
    <n v="7420"/>
    <x v="5"/>
    <x v="0"/>
    <s v="Jessica Smith"/>
    <s v="Britanny Bold"/>
    <s v="Delta"/>
  </r>
  <r>
    <s v="Gottlieb-Cruickshank  "/>
    <s v="Schaefer LLC Pharmacy"/>
    <s v="Kamień Pomorski"/>
    <x v="0"/>
    <n v="53.969700000000003"/>
    <n v="14.7858"/>
    <s v="Hospital"/>
    <s v="Government"/>
    <x v="2"/>
    <x v="1"/>
    <x v="17"/>
    <x v="2"/>
    <n v="6600"/>
    <x v="0"/>
    <x v="0"/>
    <s v="Morris Garcia"/>
    <s v="Tracy Banks"/>
    <s v="Bravo"/>
  </r>
  <r>
    <s v="Gottlieb-Cruickshank  "/>
    <s v="Osinski-Collins Pharmaceutical Ltd"/>
    <s v="Elbląg"/>
    <x v="0"/>
    <n v="54.166699999999999"/>
    <n v="19.399999999999999"/>
    <s v="Pharmacy"/>
    <s v="Institution"/>
    <x v="43"/>
    <x v="5"/>
    <x v="0"/>
    <x v="42"/>
    <n v="1928"/>
    <x v="0"/>
    <x v="0"/>
    <s v="Anne Wu"/>
    <s v="Britanny Bold"/>
    <s v="Delta"/>
  </r>
  <r>
    <s v="Gottlieb-Cruickshank  "/>
    <s v="Funk and Sons Pharmaceutical Limited"/>
    <s v="Tarnobrzeg"/>
    <x v="0"/>
    <n v="50.583300000000001"/>
    <n v="21.683299999999999"/>
    <s v="Pharmacy"/>
    <s v="Retail"/>
    <x v="51"/>
    <x v="2"/>
    <x v="5"/>
    <x v="50"/>
    <n v="3610"/>
    <x v="0"/>
    <x v="0"/>
    <s v="Stella Given"/>
    <s v="Alisha Cordwell"/>
    <s v="Charlie"/>
  </r>
  <r>
    <s v="Gottlieb-Cruickshank  "/>
    <s v="Marquardt-Ryan Pharmaceutical Ltd"/>
    <s v="Węgorzewo"/>
    <x v="0"/>
    <n v="54.216700000000003"/>
    <n v="21.75"/>
    <s v="Hospital"/>
    <s v="Private"/>
    <x v="52"/>
    <x v="3"/>
    <x v="2"/>
    <x v="51"/>
    <n v="11190"/>
    <x v="0"/>
    <x v="0"/>
    <s v="Alan Ray"/>
    <s v="James Goodwill"/>
    <s v="Alfa"/>
  </r>
  <r>
    <s v="Gottlieb-Cruickshank  "/>
    <s v="Keeling LLC Pharmacy"/>
    <s v="Olsztyn"/>
    <x v="0"/>
    <n v="53.78"/>
    <n v="20.494199999999999"/>
    <s v="Pharmacy"/>
    <s v="Retail"/>
    <x v="53"/>
    <x v="5"/>
    <x v="6"/>
    <x v="52"/>
    <n v="6860"/>
    <x v="0"/>
    <x v="0"/>
    <s v="Steve Pepple"/>
    <s v="Tracy Banks"/>
    <s v="Bravo"/>
  </r>
  <r>
    <s v="Gottlieb-Cruickshank  "/>
    <s v="Romaguera, Moen and Hagenes Pharmaceutical Limited"/>
    <s v="Sopot"/>
    <x v="0"/>
    <n v="54.441899999999997"/>
    <n v="18.547799999999999"/>
    <s v="Hospital"/>
    <s v="Private"/>
    <x v="54"/>
    <x v="5"/>
    <x v="4"/>
    <x v="53"/>
    <n v="4120"/>
    <x v="0"/>
    <x v="0"/>
    <s v="Jessica Smith"/>
    <s v="Britanny Bold"/>
    <s v="Delta"/>
  </r>
  <r>
    <s v="Gottlieb-Cruickshank  "/>
    <s v="Hartmann-Wolf "/>
    <s v="Trzebnica"/>
    <x v="0"/>
    <n v="51.305"/>
    <n v="17.061399999999999"/>
    <s v="Hospital"/>
    <s v="Government"/>
    <x v="11"/>
    <x v="3"/>
    <x v="18"/>
    <x v="11"/>
    <n v="3735"/>
    <x v="0"/>
    <x v="0"/>
    <s v="Morris Garcia"/>
    <s v="Tracy Banks"/>
    <s v="Bravo"/>
  </r>
  <r>
    <s v="Gottlieb-Cruickshank  "/>
    <s v="Schmitt LLC Pharm"/>
    <s v="Nysa"/>
    <x v="0"/>
    <n v="50.473799999999997"/>
    <n v="17.334399999999999"/>
    <s v="Pharmacy"/>
    <s v="Retail"/>
    <x v="55"/>
    <x v="3"/>
    <x v="0"/>
    <x v="32"/>
    <n v="104"/>
    <x v="0"/>
    <x v="0"/>
    <s v="Daniel Gates"/>
    <s v="Alisha Cordwell"/>
    <s v="Charlie"/>
  </r>
  <r>
    <s v="Gottlieb-Cruickshank  "/>
    <s v="Mraz Group Pharmacy"/>
    <s v="Piastów"/>
    <x v="0"/>
    <n v="52.183300000000003"/>
    <n v="20.85"/>
    <s v="Hospital"/>
    <s v="Private"/>
    <x v="56"/>
    <x v="0"/>
    <x v="5"/>
    <x v="54"/>
    <n v="1005"/>
    <x v="0"/>
    <x v="0"/>
    <s v="Jimmy Grey"/>
    <s v="Alisha Cordwell"/>
    <s v="Charlie"/>
  </r>
  <r>
    <s v="Gottlieb-Cruickshank  "/>
    <s v="Buckridge, Dach and Carroll Pharmaceutical Limited"/>
    <s v="Luboń"/>
    <x v="0"/>
    <n v="52.333300000000001"/>
    <n v="16.883299999999998"/>
    <s v="Hospital"/>
    <s v="Private"/>
    <x v="3"/>
    <x v="2"/>
    <x v="8"/>
    <x v="3"/>
    <n v="870"/>
    <x v="7"/>
    <x v="0"/>
    <s v="Thompson Crawford"/>
    <s v="James Goodwill"/>
    <s v="Alfa"/>
  </r>
  <r>
    <s v="Gottlieb-Cruickshank  "/>
    <s v="Boyer and Sons Pharmaceutical Limited"/>
    <s v="Wałcz"/>
    <x v="0"/>
    <n v="53.2667"/>
    <n v="16.466699999999999"/>
    <s v="Hospital"/>
    <s v="Government"/>
    <x v="42"/>
    <x v="0"/>
    <x v="3"/>
    <x v="41"/>
    <n v="2928"/>
    <x v="0"/>
    <x v="0"/>
    <s v="Anne Wu"/>
    <s v="Britanny Bold"/>
    <s v="Delta"/>
  </r>
  <r>
    <s v="Gottlieb-Cruickshank  "/>
    <s v="Yundt, Leuschke and Ward Pharmaceutical Ltd"/>
    <s v="Żychlin"/>
    <x v="0"/>
    <n v="52.2453"/>
    <n v="19.6236"/>
    <s v="Hospital"/>
    <s v="Government"/>
    <x v="57"/>
    <x v="2"/>
    <x v="6"/>
    <x v="55"/>
    <n v="1790"/>
    <x v="0"/>
    <x v="0"/>
    <s v="Stella Given"/>
    <s v="Alisha Cordwell"/>
    <s v="Charlie"/>
  </r>
  <r>
    <s v="Gottlieb-Cruickshank  "/>
    <s v="Johnson, Friesen and Torphy Pharma Plc"/>
    <s v="Gryfino"/>
    <x v="0"/>
    <n v="53.252400000000002"/>
    <n v="14.488300000000001"/>
    <s v="Hospital"/>
    <s v="Government"/>
    <x v="58"/>
    <x v="2"/>
    <x v="3"/>
    <x v="37"/>
    <n v="4092"/>
    <x v="0"/>
    <x v="0"/>
    <s v="Mary Gerrard"/>
    <s v="Britanny Bold"/>
    <s v="Delta"/>
  </r>
  <r>
    <s v="Gottlieb-Cruickshank  "/>
    <s v="Funk and Sons Pharmaceutical Limited"/>
    <s v="Tarnobrzeg"/>
    <x v="0"/>
    <n v="50.583300000000001"/>
    <n v="21.683299999999999"/>
    <s v="Pharmacy"/>
    <s v="Retail"/>
    <x v="59"/>
    <x v="1"/>
    <x v="11"/>
    <x v="56"/>
    <n v="1491"/>
    <x v="0"/>
    <x v="0"/>
    <s v="Erica Jones"/>
    <s v="James Goodwill"/>
    <s v="Alfa"/>
  </r>
  <r>
    <s v="Gottlieb-Cruickshank  "/>
    <s v="Mraz Group Pharmacy"/>
    <s v="Piastów"/>
    <x v="0"/>
    <n v="52.183300000000003"/>
    <n v="20.85"/>
    <s v="Hospital"/>
    <s v="Private"/>
    <x v="60"/>
    <x v="3"/>
    <x v="6"/>
    <x v="57"/>
    <n v="2690"/>
    <x v="0"/>
    <x v="0"/>
    <s v="Steve Pepple"/>
    <s v="Tracy Banks"/>
    <s v="Bravo"/>
  </r>
  <r>
    <s v="Gottlieb-Cruickshank  "/>
    <s v="Rohan Inc "/>
    <s v="Chojnów"/>
    <x v="0"/>
    <n v="51.2667"/>
    <n v="15.933299999999999"/>
    <s v="Pharmacy"/>
    <s v="Institution"/>
    <x v="61"/>
    <x v="3"/>
    <x v="8"/>
    <x v="58"/>
    <n v="568"/>
    <x v="7"/>
    <x v="0"/>
    <s v="Alan Ray"/>
    <s v="James Goodwill"/>
    <s v="Alfa"/>
  </r>
  <r>
    <s v="Gottlieb-Cruickshank  "/>
    <s v="Wintheiser, Breitenberg and Gottlieb Pharmaceutical Limited"/>
    <s v="Milanówek"/>
    <x v="0"/>
    <n v="52.124299999999998"/>
    <n v="20.665400000000002"/>
    <s v="Pharmacy"/>
    <s v="Retail"/>
    <x v="62"/>
    <x v="2"/>
    <x v="6"/>
    <x v="59"/>
    <n v="6240"/>
    <x v="0"/>
    <x v="0"/>
    <s v="Anne Wu"/>
    <s v="Britanny Bold"/>
    <s v="Delta"/>
  </r>
  <r>
    <s v="Gottlieb-Cruickshank  "/>
    <s v="Pfeffer-Hodkiewicz Pharmaceutical Ltd"/>
    <s v="Szczytno"/>
    <x v="0"/>
    <n v="53.562800000000003"/>
    <n v="20.985299999999999"/>
    <s v="Hospital"/>
    <s v="Government"/>
    <x v="63"/>
    <x v="2"/>
    <x v="0"/>
    <x v="60"/>
    <n v="2984"/>
    <x v="0"/>
    <x v="0"/>
    <s v="Daniel Gates"/>
    <s v="Alisha Cordwell"/>
    <s v="Charlie"/>
  </r>
  <r>
    <s v="Gottlieb-Cruickshank  "/>
    <s v="Moen, Murazik and Smith "/>
    <s v="Siedlce"/>
    <x v="0"/>
    <n v="52.183300000000003"/>
    <n v="22.283300000000001"/>
    <s v="Pharmacy"/>
    <s v="Retail"/>
    <x v="64"/>
    <x v="4"/>
    <x v="5"/>
    <x v="61"/>
    <n v="3140"/>
    <x v="0"/>
    <x v="0"/>
    <s v="Anne Wu"/>
    <s v="Britanny Bold"/>
    <s v="Delta"/>
  </r>
  <r>
    <s v="Gottlieb-Cruickshank  "/>
    <s v="Jast-Cruickshank Pharma Plc"/>
    <s v="Białystok"/>
    <x v="0"/>
    <n v="53.116700000000002"/>
    <n v="23.166699999999999"/>
    <s v="Pharmacy"/>
    <s v="Retail"/>
    <x v="65"/>
    <x v="3"/>
    <x v="4"/>
    <x v="62"/>
    <n v="2740"/>
    <x v="0"/>
    <x v="0"/>
    <s v="Jimmy Grey"/>
    <s v="Alisha Cordwell"/>
    <s v="Charlie"/>
  </r>
  <r>
    <s v="Gottlieb-Cruickshank  "/>
    <s v="Hills, Stroman and Ernser Pharm"/>
    <s v="Pułtusk"/>
    <x v="0"/>
    <n v="52.702500000000001"/>
    <n v="21.082799999999999"/>
    <s v="Hospital"/>
    <s v="Private"/>
    <x v="66"/>
    <x v="3"/>
    <x v="4"/>
    <x v="63"/>
    <n v="12540"/>
    <x v="0"/>
    <x v="0"/>
    <s v="Stella Given"/>
    <s v="Alisha Cordwell"/>
    <s v="Charlie"/>
  </r>
  <r>
    <s v="Gottlieb-Cruickshank  "/>
    <s v="Blick, Pacocha and Schowalter "/>
    <s v="Inowrocław"/>
    <x v="1"/>
    <n v="52.7958"/>
    <n v="18.261099999999999"/>
    <s v="Pharmacy"/>
    <s v="Retail"/>
    <x v="67"/>
    <x v="5"/>
    <x v="7"/>
    <x v="64"/>
    <n v="24955"/>
    <x v="0"/>
    <x v="0"/>
    <s v="Alan Ray"/>
    <s v="James Goodwill"/>
    <s v="Alfa"/>
  </r>
  <r>
    <s v="Gottlieb-Cruickshank  "/>
    <s v="Schinner, Gaylord and Treutel Pharmaceutical Ltd"/>
    <s v="Dąbrowa Górnicza"/>
    <x v="0"/>
    <n v="50.323900000000002"/>
    <n v="19.194700000000001"/>
    <s v="Hospital"/>
    <s v="Government"/>
    <x v="19"/>
    <x v="3"/>
    <x v="19"/>
    <x v="19"/>
    <n v="7368"/>
    <x v="0"/>
    <x v="0"/>
    <s v="Jimmy Grey"/>
    <s v="Alisha Cordwell"/>
    <s v="Charlie"/>
  </r>
  <r>
    <s v="Gottlieb-Cruickshank  "/>
    <s v="Graham and Sons Pharmacy"/>
    <s v="Warka"/>
    <x v="0"/>
    <n v="51.783299999999997"/>
    <n v="21.2"/>
    <s v="Hospital"/>
    <s v="Private"/>
    <x v="67"/>
    <x v="5"/>
    <x v="0"/>
    <x v="64"/>
    <n v="2852"/>
    <x v="0"/>
    <x v="0"/>
    <s v="Sheila Stones"/>
    <s v="Britanny Bold"/>
    <s v="Delta"/>
  </r>
  <r>
    <s v="Gottlieb-Cruickshank  "/>
    <s v="Stehr-Champlin Pharmaceutical Limited"/>
    <s v="Nowe Miasto Lubawskie"/>
    <x v="0"/>
    <n v="53.416699999999999"/>
    <n v="19.583300000000001"/>
    <s v="Hospital"/>
    <s v="Government"/>
    <x v="2"/>
    <x v="1"/>
    <x v="13"/>
    <x v="2"/>
    <n v="3960"/>
    <x v="0"/>
    <x v="0"/>
    <s v="Sheila Stones"/>
    <s v="Britanny Bold"/>
    <s v="Delta"/>
  </r>
  <r>
    <s v="Gottlieb-Cruickshank  "/>
    <s v="Funk, Ratke and Heaney Pharmacy"/>
    <s v="Prabuty"/>
    <x v="0"/>
    <n v="53.755800000000001"/>
    <n v="19.197500000000002"/>
    <s v="Hospital"/>
    <s v="Government"/>
    <x v="67"/>
    <x v="5"/>
    <x v="5"/>
    <x v="64"/>
    <n v="3565"/>
    <x v="0"/>
    <x v="0"/>
    <s v="Abigail Thompson"/>
    <s v="Tracy Banks"/>
    <s v="Bravo"/>
  </r>
  <r>
    <s v="Gottlieb-Cruickshank  "/>
    <s v="Mann-Waelchi Pharm"/>
    <s v="Piotrków Trybunalski"/>
    <x v="1"/>
    <n v="51.4"/>
    <n v="19.683299999999999"/>
    <s v="Hospital"/>
    <s v="Private"/>
    <x v="68"/>
    <x v="4"/>
    <x v="18"/>
    <x v="65"/>
    <n v="9150"/>
    <x v="0"/>
    <x v="0"/>
    <s v="Alan Ray"/>
    <s v="James Goodwill"/>
    <s v="Alfa"/>
  </r>
  <r>
    <s v="Gottlieb-Cruickshank  "/>
    <s v="Haley PLC Pharmaceutical Limited"/>
    <s v="Opole"/>
    <x v="0"/>
    <n v="50.672199999999997"/>
    <n v="17.9253"/>
    <s v="Pharmacy"/>
    <s v="Retail"/>
    <x v="69"/>
    <x v="3"/>
    <x v="6"/>
    <x v="66"/>
    <n v="7940"/>
    <x v="0"/>
    <x v="0"/>
    <s v="Stella Given"/>
    <s v="Alisha Cordwell"/>
    <s v="Charlie"/>
  </r>
  <r>
    <s v="Gottlieb-Cruickshank  "/>
    <s v="Leuschke, Waters and Schowalter Pharmaceutical Ltd"/>
    <s v="Krapkowice"/>
    <x v="0"/>
    <n v="50.475099999999998"/>
    <n v="17.965399999999999"/>
    <s v="Pharmacy"/>
    <s v="Institution"/>
    <x v="17"/>
    <x v="3"/>
    <x v="0"/>
    <x v="17"/>
    <n v="1152"/>
    <x v="0"/>
    <x v="0"/>
    <s v="Anne Wu"/>
    <s v="Britanny Bold"/>
    <s v="Delta"/>
  </r>
  <r>
    <s v="Gottlieb-Cruickshank  "/>
    <s v="Denesik-Hintz Pharm"/>
    <s v="Międzyrzec Podlaski"/>
    <x v="0"/>
    <n v="51.9833"/>
    <n v="22.8"/>
    <s v="Pharmacy"/>
    <s v="Retail"/>
    <x v="30"/>
    <x v="5"/>
    <x v="8"/>
    <x v="30"/>
    <n v="328"/>
    <x v="0"/>
    <x v="0"/>
    <s v="Steve Pepple"/>
    <s v="Tracy Banks"/>
    <s v="Bravo"/>
  </r>
  <r>
    <s v="Gottlieb-Cruickshank  "/>
    <s v="Rosenbaum, Klein and Herzog "/>
    <s v="Zbąszyń"/>
    <x v="0"/>
    <n v="52.253100000000003"/>
    <n v="15.9178"/>
    <s v="Hospital"/>
    <s v="Private"/>
    <x v="70"/>
    <x v="3"/>
    <x v="5"/>
    <x v="67"/>
    <n v="3295"/>
    <x v="0"/>
    <x v="0"/>
    <s v="Erica Jones"/>
    <s v="James Goodwill"/>
    <s v="Alfa"/>
  </r>
  <r>
    <s v="Gottlieb-Cruickshank  "/>
    <s v="Trantow LLC Pharma Plc"/>
    <s v="Braniewo"/>
    <x v="0"/>
    <n v="54.383299999999998"/>
    <n v="19.833300000000001"/>
    <s v="Pharmacy"/>
    <s v="Retail"/>
    <x v="71"/>
    <x v="4"/>
    <x v="3"/>
    <x v="68"/>
    <n v="2310"/>
    <x v="7"/>
    <x v="0"/>
    <s v="Stella Given"/>
    <s v="Alisha Cordwell"/>
    <s v="Charlie"/>
  </r>
  <r>
    <s v="Gottlieb-Cruickshank  "/>
    <s v="Hill Ltd "/>
    <s v="Gliwice"/>
    <x v="0"/>
    <n v="50.297600000000003"/>
    <n v="18.676600000000001"/>
    <s v="Pharmacy"/>
    <s v="Retail"/>
    <x v="7"/>
    <x v="0"/>
    <x v="5"/>
    <x v="7"/>
    <n v="3710"/>
    <x v="0"/>
    <x v="0"/>
    <s v="Jessica Smith"/>
    <s v="Britanny Bold"/>
    <s v="Delta"/>
  </r>
  <r>
    <s v="Gottlieb-Cruickshank  "/>
    <s v="Leannon-West Pharmacy"/>
    <s v="Cieszyn"/>
    <x v="0"/>
    <n v="49.75"/>
    <n v="18.633299999999998"/>
    <s v="Pharmacy"/>
    <s v="Retail"/>
    <x v="30"/>
    <x v="5"/>
    <x v="11"/>
    <x v="30"/>
    <n v="492"/>
    <x v="0"/>
    <x v="0"/>
    <s v="Abigail Thompson"/>
    <s v="Tracy Banks"/>
    <s v="Bravo"/>
  </r>
  <r>
    <s v="Gottlieb-Cruickshank  "/>
    <s v="Kub, Von and Herzog Pharmacy"/>
    <s v="Wschowa"/>
    <x v="0"/>
    <n v="51.8"/>
    <n v="16.3"/>
    <s v="Hospital"/>
    <s v="Private"/>
    <x v="72"/>
    <x v="2"/>
    <x v="6"/>
    <x v="69"/>
    <n v="2980"/>
    <x v="0"/>
    <x v="0"/>
    <s v="Daniel Gates"/>
    <s v="Alisha Cordwell"/>
    <s v="Charlie"/>
  </r>
  <r>
    <s v="Gottlieb-Cruickshank  "/>
    <s v="Welch-Orn "/>
    <s v="Chełmno"/>
    <x v="0"/>
    <n v="53.349200000000003"/>
    <n v="18.426100000000002"/>
    <s v="Hospital"/>
    <s v="Private"/>
    <x v="68"/>
    <x v="4"/>
    <x v="6"/>
    <x v="65"/>
    <n v="6100"/>
    <x v="0"/>
    <x v="0"/>
    <s v="Abigail Thompson"/>
    <s v="Tracy Banks"/>
    <s v="Bravo"/>
  </r>
  <r>
    <s v="Gottlieb-Cruickshank  "/>
    <s v="Purdy Ltd Pharmaceutical Limited"/>
    <s v="Głuchołazy"/>
    <x v="0"/>
    <n v="50.313099999999999"/>
    <n v="17.374199999999998"/>
    <s v="Hospital"/>
    <s v="Government"/>
    <x v="73"/>
    <x v="3"/>
    <x v="11"/>
    <x v="70"/>
    <n v="954"/>
    <x v="0"/>
    <x v="0"/>
    <s v="Daniel Gates"/>
    <s v="Alisha Cordwell"/>
    <s v="Charlie"/>
  </r>
  <r>
    <s v="Gottlieb-Cruickshank  "/>
    <s v="Osinski-Collins Pharmaceutical Ltd"/>
    <s v="Elbląg"/>
    <x v="0"/>
    <n v="54.166699999999999"/>
    <n v="19.399999999999999"/>
    <s v="Pharmacy"/>
    <s v="Institution"/>
    <x v="74"/>
    <x v="0"/>
    <x v="3"/>
    <x v="71"/>
    <n v="924"/>
    <x v="0"/>
    <x v="0"/>
    <s v="Steve Pepple"/>
    <s v="Tracy Banks"/>
    <s v="Bravo"/>
  </r>
  <r>
    <s v="Gottlieb-Cruickshank  "/>
    <s v="Jakubowski Inc Pharmaceutical Limited"/>
    <s v="Bolesławiec"/>
    <x v="0"/>
    <n v="51.2667"/>
    <n v="15.566700000000001"/>
    <s v="Pharmacy"/>
    <s v="Retail"/>
    <x v="75"/>
    <x v="0"/>
    <x v="2"/>
    <x v="72"/>
    <n v="21240"/>
    <x v="0"/>
    <x v="0"/>
    <s v="Jessica Smith"/>
    <s v="Britanny Bold"/>
    <s v="Delta"/>
  </r>
  <r>
    <s v="Gottlieb-Cruickshank  "/>
    <s v="Balistreri-Watsica Pharmacy"/>
    <s v="Ełk"/>
    <x v="1"/>
    <n v="53.816699999999997"/>
    <n v="22.35"/>
    <s v="Pharmacy"/>
    <s v="Retail"/>
    <x v="76"/>
    <x v="3"/>
    <x v="0"/>
    <x v="73"/>
    <n v="484"/>
    <x v="0"/>
    <x v="0"/>
    <s v="Stella Given"/>
    <s v="Alisha Cordwell"/>
    <s v="Charlie"/>
  </r>
  <r>
    <s v="Gottlieb-Cruickshank  "/>
    <s v="Barton Ltd Pharma Plc"/>
    <s v="Czeladź"/>
    <x v="0"/>
    <n v="50.333300000000001"/>
    <n v="19.083300000000001"/>
    <s v="Hospital"/>
    <s v="Private"/>
    <x v="77"/>
    <x v="4"/>
    <x v="5"/>
    <x v="74"/>
    <n v="2350"/>
    <x v="0"/>
    <x v="0"/>
    <s v="Sheila Stones"/>
    <s v="Britanny Bold"/>
    <s v="Delta"/>
  </r>
  <r>
    <s v="Gottlieb-Cruickshank  "/>
    <s v="Mann-Waelchi Pharm"/>
    <s v="Piotrków Trybunalski"/>
    <x v="0"/>
    <n v="51.4"/>
    <n v="19.683299999999999"/>
    <s v="Hospital"/>
    <s v="Private"/>
    <x v="42"/>
    <x v="0"/>
    <x v="5"/>
    <x v="41"/>
    <n v="2440"/>
    <x v="0"/>
    <x v="0"/>
    <s v="Steve Pepple"/>
    <s v="Tracy Banks"/>
    <s v="Bravo"/>
  </r>
  <r>
    <s v="Gottlieb-Cruickshank  "/>
    <s v="Bashirian-Kassulke Pharma Plc"/>
    <s v="Kraków"/>
    <x v="0"/>
    <n v="50.061399999999999"/>
    <n v="19.937200000000001"/>
    <s v="Hospital"/>
    <s v="Private"/>
    <x v="78"/>
    <x v="3"/>
    <x v="6"/>
    <x v="75"/>
    <n v="6470"/>
    <x v="0"/>
    <x v="0"/>
    <s v="Morris Garcia"/>
    <s v="Tracy Banks"/>
    <s v="Bravo"/>
  </r>
  <r>
    <s v="Gottlieb-Cruickshank  "/>
    <s v="Herman, Rice and Rippin "/>
    <s v="Ziębice"/>
    <x v="0"/>
    <n v="50.6"/>
    <n v="17.0444"/>
    <s v="Hospital"/>
    <s v="Government"/>
    <x v="79"/>
    <x v="3"/>
    <x v="3"/>
    <x v="76"/>
    <n v="150"/>
    <x v="0"/>
    <x v="0"/>
    <s v="Jimmy Grey"/>
    <s v="Alisha Cordwell"/>
    <s v="Charlie"/>
  </r>
  <r>
    <s v="Gottlieb-Cruickshank  "/>
    <s v="Kertzmann-Ward Pharma Plc"/>
    <s v="Opoczno"/>
    <x v="1"/>
    <n v="51.383299999999998"/>
    <n v="20.283300000000001"/>
    <s v="Pharmacy"/>
    <s v="Institution"/>
    <x v="80"/>
    <x v="3"/>
    <x v="3"/>
    <x v="77"/>
    <n v="1092"/>
    <x v="0"/>
    <x v="0"/>
    <s v="Steve Pepple"/>
    <s v="Tracy Banks"/>
    <s v="Bravo"/>
  </r>
  <r>
    <s v="Gottlieb-Cruickshank  "/>
    <s v="Streich PLC Pharmaceutical Limited"/>
    <s v="Przemyśl"/>
    <x v="0"/>
    <n v="49.784999999999997"/>
    <n v="22.767299999999999"/>
    <s v="Pharmacy"/>
    <s v="Institution"/>
    <x v="81"/>
    <x v="0"/>
    <x v="6"/>
    <x v="78"/>
    <n v="1300"/>
    <x v="0"/>
    <x v="0"/>
    <s v="Thompson Crawford"/>
    <s v="James Goodwill"/>
    <s v="Alfa"/>
  </r>
  <r>
    <s v="Gottlieb-Cruickshank  "/>
    <s v="Upton, Abernathy and Goodwin Pharmaceutical Ltd"/>
    <s v="Jarosław"/>
    <x v="0"/>
    <n v="50.016199999999998"/>
    <n v="22.677800000000001"/>
    <s v="Hospital"/>
    <s v="Government"/>
    <x v="40"/>
    <x v="1"/>
    <x v="6"/>
    <x v="39"/>
    <n v="1220"/>
    <x v="0"/>
    <x v="0"/>
    <s v="Jimmy Grey"/>
    <s v="Alisha Cordwell"/>
    <s v="Charlie"/>
  </r>
  <r>
    <s v="Gottlieb-Cruickshank  "/>
    <s v="Greenholt, Donnelly and O'Reilly Pharmaceutical Limited"/>
    <s v="Rumia"/>
    <x v="0"/>
    <n v="54.566699999999997"/>
    <n v="18.399999999999999"/>
    <s v="Pharmacy"/>
    <s v="Retail"/>
    <x v="82"/>
    <x v="3"/>
    <x v="16"/>
    <x v="79"/>
    <n v="5240"/>
    <x v="0"/>
    <x v="0"/>
    <s v="Jessica Smith"/>
    <s v="Britanny Bold"/>
    <s v="Delta"/>
  </r>
  <r>
    <s v="Gottlieb-Cruickshank  "/>
    <s v="Kilback, Beer and Batz Pharma Plc"/>
    <s v="Kutno"/>
    <x v="0"/>
    <n v="52.2333"/>
    <n v="19.366700000000002"/>
    <s v="Pharmacy"/>
    <s v="Retail"/>
    <x v="83"/>
    <x v="3"/>
    <x v="5"/>
    <x v="80"/>
    <n v="1950"/>
    <x v="0"/>
    <x v="0"/>
    <s v="Jessica Smith"/>
    <s v="Britanny Bold"/>
    <s v="Delta"/>
  </r>
  <r>
    <s v="Gottlieb-Cruickshank  "/>
    <s v="Spinka, Schowalter and Conn Pharmaceutical Limited"/>
    <s v="Biłgoraj"/>
    <x v="0"/>
    <n v="50.55"/>
    <n v="22.7333"/>
    <s v="Pharmacy"/>
    <s v="Institution"/>
    <x v="44"/>
    <x v="0"/>
    <x v="16"/>
    <x v="43"/>
    <n v="3128"/>
    <x v="0"/>
    <x v="0"/>
    <s v="Steve Pepple"/>
    <s v="Tracy Banks"/>
    <s v="Bravo"/>
  </r>
  <r>
    <s v="Gottlieb-Cruickshank  "/>
    <s v="Kunze PLC Pharm"/>
    <s v="Darłowo"/>
    <x v="0"/>
    <n v="54.416699999999999"/>
    <n v="16.416699999999999"/>
    <s v="Hospital"/>
    <s v="Private"/>
    <x v="84"/>
    <x v="4"/>
    <x v="3"/>
    <x v="81"/>
    <n v="4692"/>
    <x v="0"/>
    <x v="0"/>
    <s v="Daniel Gates"/>
    <s v="Alisha Cordwell"/>
    <s v="Charlie"/>
  </r>
  <r>
    <s v="Gottlieb-Cruickshank  "/>
    <s v="Lesch PLC Pharmacy"/>
    <s v="Wrocław"/>
    <x v="0"/>
    <n v="51.107700000000001"/>
    <n v="17.035299999999999"/>
    <s v="Hospital"/>
    <s v="Private"/>
    <x v="85"/>
    <x v="4"/>
    <x v="3"/>
    <x v="82"/>
    <n v="2952"/>
    <x v="0"/>
    <x v="0"/>
    <s v="Stella Given"/>
    <s v="Alisha Cordwell"/>
    <s v="Charlie"/>
  </r>
  <r>
    <s v="Gottlieb-Cruickshank  "/>
    <s v="Hermiston LLC "/>
    <s v="Strzegom"/>
    <x v="0"/>
    <n v="51"/>
    <n v="16.333300000000001"/>
    <s v="Pharmacy"/>
    <s v="Institution"/>
    <x v="86"/>
    <x v="0"/>
    <x v="11"/>
    <x v="83"/>
    <n v="1560"/>
    <x v="0"/>
    <x v="0"/>
    <s v="Abigail Thompson"/>
    <s v="Tracy Banks"/>
    <s v="Bravo"/>
  </r>
  <r>
    <s v="Gottlieb-Cruickshank  "/>
    <s v="Kozey Ltd Pharmaceutical Ltd"/>
    <s v="Bielsk Podlaski"/>
    <x v="0"/>
    <n v="52.7667"/>
    <n v="23.2"/>
    <s v="Hospital"/>
    <s v="Government"/>
    <x v="87"/>
    <x v="0"/>
    <x v="3"/>
    <x v="84"/>
    <n v="4602"/>
    <x v="0"/>
    <x v="0"/>
    <s v="Anne Wu"/>
    <s v="Britanny Bold"/>
    <s v="Delta"/>
  </r>
  <r>
    <s v="Gottlieb-Cruickshank  "/>
    <s v="Bayer LLC Pharmaceutical Ltd"/>
    <s v="Bytów"/>
    <x v="0"/>
    <n v="54.166699999999999"/>
    <n v="17.5"/>
    <s v="Hospital"/>
    <s v="Private"/>
    <x v="88"/>
    <x v="1"/>
    <x v="3"/>
    <x v="33"/>
    <n v="2712"/>
    <x v="1"/>
    <x v="0"/>
    <s v="Daniel Gates"/>
    <s v="Alisha Cordwell"/>
    <s v="Charlie"/>
  </r>
  <r>
    <s v="Gottlieb-Cruickshank  "/>
    <s v="Buckridge, Hand and Hyatt Pharma Plc"/>
    <s v="Zgorzelec"/>
    <x v="0"/>
    <n v="51.152799999999999"/>
    <n v="15"/>
    <s v="Pharmacy"/>
    <s v="Institution"/>
    <x v="45"/>
    <x v="5"/>
    <x v="20"/>
    <x v="44"/>
    <n v="900"/>
    <x v="1"/>
    <x v="0"/>
    <s v="Sheila Stones"/>
    <s v="Britanny Bold"/>
    <s v="Delta"/>
  </r>
  <r>
    <s v="Gottlieb-Cruickshank  "/>
    <s v="Mann-Waelchi Pharm"/>
    <s v="Piotrków Trybunalski"/>
    <x v="0"/>
    <n v="51.4"/>
    <n v="19.683299999999999"/>
    <s v="Hospital"/>
    <s v="Private"/>
    <x v="89"/>
    <x v="2"/>
    <x v="5"/>
    <x v="85"/>
    <n v="3065"/>
    <x v="0"/>
    <x v="0"/>
    <s v="Steve Pepple"/>
    <s v="Tracy Banks"/>
    <s v="Bravo"/>
  </r>
  <r>
    <s v="Gottlieb-Cruickshank  "/>
    <s v="Hansen Group Pharm"/>
    <s v="Gryfów Śląski"/>
    <x v="0"/>
    <n v="51.030799999999999"/>
    <n v="15.420199999999999"/>
    <s v="Hospital"/>
    <s v="Private"/>
    <x v="90"/>
    <x v="0"/>
    <x v="4"/>
    <x v="86"/>
    <n v="6220"/>
    <x v="8"/>
    <x v="0"/>
    <s v="Erica Jones"/>
    <s v="James Goodwill"/>
    <s v="Alfa"/>
  </r>
  <r>
    <s v="Gottlieb-Cruickshank  "/>
    <s v="Boyer and Sons Pharmaceutical Limited"/>
    <s v="Wałcz"/>
    <x v="0"/>
    <n v="53.2667"/>
    <n v="16.466699999999999"/>
    <s v="Hospital"/>
    <s v="Government"/>
    <x v="91"/>
    <x v="1"/>
    <x v="5"/>
    <x v="87"/>
    <n v="3055"/>
    <x v="0"/>
    <x v="0"/>
    <s v="Abigail Thompson"/>
    <s v="Tracy Banks"/>
    <s v="Bravo"/>
  </r>
  <r>
    <s v="Gottlieb-Cruickshank  "/>
    <s v="Schowalter, Runolfsson and VonRueden Pharmaceutical Ltd"/>
    <s v="Grudziądz"/>
    <x v="0"/>
    <n v="53.4925"/>
    <n v="18.7761"/>
    <s v="Pharmacy"/>
    <s v="Retail"/>
    <x v="92"/>
    <x v="1"/>
    <x v="21"/>
    <x v="88"/>
    <n v="10049"/>
    <x v="0"/>
    <x v="0"/>
    <s v="Steve Pepple"/>
    <s v="Tracy Banks"/>
    <s v="Bravo"/>
  </r>
  <r>
    <s v="Gottlieb-Cruickshank  "/>
    <s v="Rosenbaum, Klein and Herzog "/>
    <s v="Zbąszyń"/>
    <x v="0"/>
    <n v="52.253100000000003"/>
    <n v="15.9178"/>
    <s v="Hospital"/>
    <s v="Private"/>
    <x v="7"/>
    <x v="0"/>
    <x v="4"/>
    <x v="7"/>
    <n v="14840"/>
    <x v="0"/>
    <x v="0"/>
    <s v="Steve Pepple"/>
    <s v="Tracy Banks"/>
    <s v="Bravo"/>
  </r>
  <r>
    <s v="Gottlieb-Cruickshank  "/>
    <s v="Haley PLC Pharmaceutical Limited"/>
    <s v="Opole"/>
    <x v="0"/>
    <n v="50.672199999999997"/>
    <n v="17.9253"/>
    <s v="Pharmacy"/>
    <s v="Retail"/>
    <x v="30"/>
    <x v="5"/>
    <x v="1"/>
    <x v="30"/>
    <n v="1148"/>
    <x v="0"/>
    <x v="0"/>
    <s v="Morris Garcia"/>
    <s v="Tracy Banks"/>
    <s v="Bravo"/>
  </r>
  <r>
    <s v="Gottlieb-Cruickshank  "/>
    <s v="Buckridge, Hand and Hyatt Pharma Plc"/>
    <s v="Zgorzelec"/>
    <x v="0"/>
    <n v="51.152799999999999"/>
    <n v="15"/>
    <s v="Pharmacy"/>
    <s v="Institution"/>
    <x v="15"/>
    <x v="2"/>
    <x v="5"/>
    <x v="15"/>
    <n v="3025"/>
    <x v="8"/>
    <x v="0"/>
    <s v="Jimmy Grey"/>
    <s v="Alisha Cordwell"/>
    <s v="Charlie"/>
  </r>
  <r>
    <s v="Gottlieb-Cruickshank  "/>
    <s v="Zieme, Doyle and Kunze "/>
    <s v="Lublin"/>
    <x v="0"/>
    <n v="51.2333"/>
    <n v="22.566700000000001"/>
    <s v="Hospital"/>
    <s v="Private"/>
    <x v="55"/>
    <x v="3"/>
    <x v="2"/>
    <x v="32"/>
    <n v="780"/>
    <x v="0"/>
    <x v="0"/>
    <s v="Erica Jones"/>
    <s v="James Goodwill"/>
    <s v="Alfa"/>
  </r>
  <r>
    <s v="Gottlieb-Cruickshank  "/>
    <s v="Rowe PLC Pharmaceutical Ltd"/>
    <s v="Kęty"/>
    <x v="0"/>
    <n v="49.882100000000001"/>
    <n v="19.223299999999998"/>
    <s v="Pharmacy"/>
    <s v="Institution"/>
    <x v="93"/>
    <x v="2"/>
    <x v="22"/>
    <x v="89"/>
    <n v="29624"/>
    <x v="7"/>
    <x v="0"/>
    <s v="Sheila Stones"/>
    <s v="Britanny Bold"/>
    <s v="Delta"/>
  </r>
  <r>
    <s v="Gottlieb-Cruickshank  "/>
    <s v="Beier PLC Pharmacy"/>
    <s v="Włocławek"/>
    <x v="1"/>
    <n v="52.65"/>
    <n v="19.05"/>
    <s v="Hospital"/>
    <s v="Private"/>
    <x v="94"/>
    <x v="1"/>
    <x v="15"/>
    <x v="90"/>
    <n v="401"/>
    <x v="0"/>
    <x v="0"/>
    <s v="Stella Given"/>
    <s v="Alisha Cordwell"/>
    <s v="Charlie"/>
  </r>
  <r>
    <s v="Gottlieb-Cruickshank  "/>
    <s v="Leuschke, Waters and Schowalter Pharmaceutical Ltd"/>
    <s v="Krapkowice"/>
    <x v="0"/>
    <n v="50.475099999999998"/>
    <n v="17.965399999999999"/>
    <s v="Pharmacy"/>
    <s v="Institution"/>
    <x v="22"/>
    <x v="1"/>
    <x v="8"/>
    <x v="22"/>
    <n v="430"/>
    <x v="9"/>
    <x v="0"/>
    <s v="Morris Garcia"/>
    <s v="Tracy Banks"/>
    <s v="Bravo"/>
  </r>
  <r>
    <s v="Gottlieb-Cruickshank  "/>
    <s v="Paucek, Keeling and Bruen Pharm"/>
    <s v="Łęczna"/>
    <x v="0"/>
    <n v="51.3"/>
    <n v="22.883299999999998"/>
    <s v="Pharmacy"/>
    <s v="Institution"/>
    <x v="18"/>
    <x v="2"/>
    <x v="5"/>
    <x v="18"/>
    <n v="2070"/>
    <x v="0"/>
    <x v="0"/>
    <s v="Stella Given"/>
    <s v="Alisha Cordwell"/>
    <s v="Charlie"/>
  </r>
  <r>
    <s v="Gottlieb-Cruickshank  "/>
    <s v="Schaefer-Rolfson "/>
    <s v="Niepołomice"/>
    <x v="0"/>
    <n v="50.033900000000003"/>
    <n v="20.217199999999998"/>
    <s v="Hospital"/>
    <s v="Private"/>
    <x v="95"/>
    <x v="2"/>
    <x v="15"/>
    <x v="91"/>
    <n v="173"/>
    <x v="8"/>
    <x v="0"/>
    <s v="Alan Ray"/>
    <s v="James Goodwill"/>
    <s v="Alfa"/>
  </r>
  <r>
    <s v="Gottlieb-Cruickshank  "/>
    <s v="West Group Pharmacy"/>
    <s v="Kluczbork"/>
    <x v="1"/>
    <n v="50.9833"/>
    <n v="18.216699999999999"/>
    <s v="Hospital"/>
    <s v="Government"/>
    <x v="7"/>
    <x v="0"/>
    <x v="2"/>
    <x v="7"/>
    <n v="22260"/>
    <x v="0"/>
    <x v="0"/>
    <s v="Thompson Crawford"/>
    <s v="James Goodwill"/>
    <s v="Alfa"/>
  </r>
  <r>
    <s v="Gottlieb-Cruickshank  "/>
    <s v="Kozey-Schroeder "/>
    <s v="Jawor"/>
    <x v="0"/>
    <n v="51.05"/>
    <n v="16.183299999999999"/>
    <s v="Hospital"/>
    <s v="Private"/>
    <x v="21"/>
    <x v="3"/>
    <x v="15"/>
    <x v="21"/>
    <n v="765"/>
    <x v="1"/>
    <x v="0"/>
    <s v="Mary Gerrard"/>
    <s v="Britanny Bold"/>
    <s v="Delta"/>
  </r>
  <r>
    <s v="Gottlieb-Cruickshank  "/>
    <s v="Koch, Borer and Hagenes "/>
    <s v="Kościan"/>
    <x v="0"/>
    <n v="52.083300000000001"/>
    <n v="16.649999999999999"/>
    <s v="Hospital"/>
    <s v="Private"/>
    <x v="64"/>
    <x v="4"/>
    <x v="0"/>
    <x v="61"/>
    <n v="2512"/>
    <x v="0"/>
    <x v="0"/>
    <s v="Morris Garcia"/>
    <s v="Tracy Banks"/>
    <s v="Bravo"/>
  </r>
  <r>
    <s v="Gottlieb-Cruickshank  "/>
    <s v="Wunsch, Mills and Walter "/>
    <s v="Kielce"/>
    <x v="0"/>
    <n v="50.872500000000002"/>
    <n v="20.631900000000002"/>
    <s v="Pharmacy"/>
    <s v="Institution"/>
    <x v="96"/>
    <x v="5"/>
    <x v="0"/>
    <x v="92"/>
    <n v="992"/>
    <x v="0"/>
    <x v="0"/>
    <s v="Anne Wu"/>
    <s v="Britanny Bold"/>
    <s v="Delta"/>
  </r>
  <r>
    <s v="Gottlieb-Cruickshank  "/>
    <s v="Crist Inc "/>
    <s v="Stary Sącz"/>
    <x v="0"/>
    <n v="49.5625"/>
    <n v="20.636399999999998"/>
    <s v="Hospital"/>
    <s v="Private"/>
    <x v="97"/>
    <x v="5"/>
    <x v="6"/>
    <x v="93"/>
    <n v="1870"/>
    <x v="0"/>
    <x v="0"/>
    <s v="Jessica Smith"/>
    <s v="Britanny Bold"/>
    <s v="Delta"/>
  </r>
  <r>
    <s v="Gottlieb-Cruickshank  "/>
    <s v="Schinner, Gaylord and Treutel Pharmaceutical Ltd"/>
    <s v="Dąbrowa Górnicza"/>
    <x v="0"/>
    <n v="50.323900000000002"/>
    <n v="19.194700000000001"/>
    <s v="Hospital"/>
    <s v="Government"/>
    <x v="14"/>
    <x v="4"/>
    <x v="3"/>
    <x v="14"/>
    <n v="2922"/>
    <x v="0"/>
    <x v="0"/>
    <s v="Anne Wu"/>
    <s v="Britanny Bold"/>
    <s v="Delta"/>
  </r>
  <r>
    <s v="Gottlieb-Cruickshank  "/>
    <s v="Balistreri-Watsica Pharmacy"/>
    <s v="Ełk"/>
    <x v="0"/>
    <n v="53.816699999999997"/>
    <n v="22.35"/>
    <s v="Pharmacy"/>
    <s v="Retail"/>
    <x v="64"/>
    <x v="4"/>
    <x v="0"/>
    <x v="61"/>
    <n v="2512"/>
    <x v="0"/>
    <x v="0"/>
    <s v="Stella Given"/>
    <s v="Alisha Cordwell"/>
    <s v="Charlie"/>
  </r>
  <r>
    <s v="Gottlieb-Cruickshank  "/>
    <s v="Lesch PLC Pharmacy"/>
    <s v="Wrocław"/>
    <x v="0"/>
    <n v="51.107700000000001"/>
    <n v="17.035299999999999"/>
    <s v="Hospital"/>
    <s v="Private"/>
    <x v="98"/>
    <x v="3"/>
    <x v="18"/>
    <x v="75"/>
    <n v="9705"/>
    <x v="7"/>
    <x v="0"/>
    <s v="Thompson Crawford"/>
    <s v="James Goodwill"/>
    <s v="Alfa"/>
  </r>
  <r>
    <s v="Gottlieb-Cruickshank  "/>
    <s v="Sanford, Franecki and Greenholt "/>
    <s v="Nowa Sól"/>
    <x v="0"/>
    <n v="51.8"/>
    <n v="15.716699999999999"/>
    <s v="Pharmacy"/>
    <s v="Institution"/>
    <x v="99"/>
    <x v="3"/>
    <x v="11"/>
    <x v="94"/>
    <n v="2043"/>
    <x v="0"/>
    <x v="0"/>
    <s v="Thompson Crawford"/>
    <s v="James Goodwill"/>
    <s v="Alfa"/>
  </r>
  <r>
    <s v="Gottlieb-Cruickshank  "/>
    <s v="Steuber Ltd Pharmacy"/>
    <s v="Ostrołęka"/>
    <x v="0"/>
    <n v="53.083300000000001"/>
    <n v="21.566700000000001"/>
    <s v="Hospital"/>
    <s v="Private"/>
    <x v="11"/>
    <x v="3"/>
    <x v="4"/>
    <x v="11"/>
    <n v="4980"/>
    <x v="0"/>
    <x v="0"/>
    <s v="Abigail Thompson"/>
    <s v="Tracy Banks"/>
    <s v="Bravo"/>
  </r>
  <r>
    <s v="Gottlieb-Cruickshank  "/>
    <s v="Hill Ltd "/>
    <s v="Gliwice"/>
    <x v="0"/>
    <n v="50.297600000000003"/>
    <n v="18.676600000000001"/>
    <s v="Pharmacy"/>
    <s v="Retail"/>
    <x v="100"/>
    <x v="3"/>
    <x v="6"/>
    <x v="95"/>
    <n v="5350"/>
    <x v="0"/>
    <x v="0"/>
    <s v="Erica Jones"/>
    <s v="James Goodwill"/>
    <s v="Alfa"/>
  </r>
  <r>
    <s v="Gottlieb-Cruickshank  "/>
    <s v="Hermiston LLC "/>
    <s v="Strzegom"/>
    <x v="0"/>
    <n v="51"/>
    <n v="16.333300000000001"/>
    <s v="Pharmacy"/>
    <s v="Institution"/>
    <x v="98"/>
    <x v="3"/>
    <x v="2"/>
    <x v="75"/>
    <n v="19410"/>
    <x v="0"/>
    <x v="0"/>
    <s v="Alan Ray"/>
    <s v="James Goodwill"/>
    <s v="Alfa"/>
  </r>
  <r>
    <s v="Gottlieb-Cruickshank  "/>
    <s v="Prohaska-Kuhic Pharmacy"/>
    <s v="Wisła"/>
    <x v="0"/>
    <n v="49.666699999999999"/>
    <n v="18.866700000000002"/>
    <s v="Pharmacy"/>
    <s v="Institution"/>
    <x v="101"/>
    <x v="4"/>
    <x v="0"/>
    <x v="96"/>
    <n v="564"/>
    <x v="0"/>
    <x v="0"/>
    <s v="Thompson Crawford"/>
    <s v="James Goodwill"/>
    <s v="Alfa"/>
  </r>
  <r>
    <s v="Gottlieb-Cruickshank  "/>
    <s v="Veum-Kerluke Pharmacy"/>
    <s v="Człuchów"/>
    <x v="0"/>
    <n v="53.65"/>
    <n v="17.366700000000002"/>
    <s v="Pharmacy"/>
    <s v="Retail"/>
    <x v="25"/>
    <x v="3"/>
    <x v="6"/>
    <x v="25"/>
    <n v="5020"/>
    <x v="0"/>
    <x v="0"/>
    <s v="Morris Garcia"/>
    <s v="Tracy Banks"/>
    <s v="Bravo"/>
  </r>
  <r>
    <s v="Gottlieb-Cruickshank  "/>
    <s v="Feest-Kshlerin Pharmaceutical Ltd"/>
    <s v="Świdnik"/>
    <x v="0"/>
    <n v="51.2333"/>
    <n v="22.7"/>
    <s v="Pharmacy"/>
    <s v="Institution"/>
    <x v="87"/>
    <x v="0"/>
    <x v="0"/>
    <x v="84"/>
    <n v="3068"/>
    <x v="0"/>
    <x v="0"/>
    <s v="Daniel Gates"/>
    <s v="Alisha Cordwell"/>
    <s v="Charlie"/>
  </r>
  <r>
    <s v="Gottlieb-Cruickshank  "/>
    <s v="Medhurst-Beer Pharmaceutical Limited"/>
    <s v="Rybnik"/>
    <x v="0"/>
    <n v="50.083300000000001"/>
    <n v="18.5"/>
    <s v="Pharmacy"/>
    <s v="Institution"/>
    <x v="102"/>
    <x v="0"/>
    <x v="5"/>
    <x v="97"/>
    <n v="2565"/>
    <x v="0"/>
    <x v="0"/>
    <s v="Alan Ray"/>
    <s v="James Goodwill"/>
    <s v="Alfa"/>
  </r>
  <r>
    <s v="Gottlieb-Cruickshank  "/>
    <s v="Hermiston and Sons Pharma Plc"/>
    <s v="Bochnia"/>
    <x v="0"/>
    <n v="49.9833"/>
    <n v="20.433299999999999"/>
    <s v="Pharmacy"/>
    <s v="Institution"/>
    <x v="88"/>
    <x v="1"/>
    <x v="11"/>
    <x v="33"/>
    <n v="1356"/>
    <x v="0"/>
    <x v="0"/>
    <s v="Anne Wu"/>
    <s v="Britanny Bold"/>
    <s v="Delta"/>
  </r>
  <r>
    <s v="Gottlieb-Cruickshank  "/>
    <s v="Nader-Gaylord Pharmaceutical Ltd"/>
    <s v="Łódź"/>
    <x v="0"/>
    <n v="51.776899999999998"/>
    <n v="19.454699999999999"/>
    <s v="Pharmacy"/>
    <s v="Retail"/>
    <x v="103"/>
    <x v="0"/>
    <x v="0"/>
    <x v="98"/>
    <n v="1444"/>
    <x v="0"/>
    <x v="0"/>
    <s v="Abigail Thompson"/>
    <s v="Tracy Banks"/>
    <s v="Bravo"/>
  </r>
  <r>
    <s v="Gottlieb-Cruickshank  "/>
    <s v="Schinner, Gaylord and Treutel Pharmaceutical Ltd"/>
    <s v="Dąbrowa Górnicza"/>
    <x v="0"/>
    <n v="50.323900000000002"/>
    <n v="19.194700000000001"/>
    <s v="Hospital"/>
    <s v="Government"/>
    <x v="68"/>
    <x v="4"/>
    <x v="19"/>
    <x v="65"/>
    <n v="14640"/>
    <x v="10"/>
    <x v="0"/>
    <s v="Thompson Crawford"/>
    <s v="James Goodwill"/>
    <s v="Alfa"/>
  </r>
  <r>
    <s v="Gottlieb-Cruickshank  "/>
    <s v="Hermiston and Sons Pharma Plc"/>
    <s v="Bochnia"/>
    <x v="0"/>
    <n v="49.9833"/>
    <n v="20.433299999999999"/>
    <s v="Pharmacy"/>
    <s v="Institution"/>
    <x v="104"/>
    <x v="0"/>
    <x v="0"/>
    <x v="99"/>
    <n v="1336"/>
    <x v="0"/>
    <x v="0"/>
    <s v="Steve Pepple"/>
    <s v="Tracy Banks"/>
    <s v="Bravo"/>
  </r>
  <r>
    <s v="Gottlieb-Cruickshank  "/>
    <s v="Zieme, Doyle and Kunze "/>
    <s v="Lublin"/>
    <x v="0"/>
    <n v="51.2333"/>
    <n v="22.566700000000001"/>
    <s v="Hospital"/>
    <s v="Private"/>
    <x v="90"/>
    <x v="0"/>
    <x v="11"/>
    <x v="86"/>
    <n v="933"/>
    <x v="0"/>
    <x v="0"/>
    <s v="Daniel Gates"/>
    <s v="Alisha Cordwell"/>
    <s v="Charlie"/>
  </r>
  <r>
    <s v="Gottlieb-Cruickshank  "/>
    <s v="Boyer and Sons Pharmaceutical Limited"/>
    <s v="Wałcz"/>
    <x v="0"/>
    <n v="53.2667"/>
    <n v="16.466699999999999"/>
    <s v="Hospital"/>
    <s v="Government"/>
    <x v="105"/>
    <x v="2"/>
    <x v="3"/>
    <x v="100"/>
    <n v="3786"/>
    <x v="0"/>
    <x v="0"/>
    <s v="Erica Jones"/>
    <s v="James Goodwill"/>
    <s v="Alfa"/>
  </r>
  <r>
    <s v="Gottlieb-Cruickshank  "/>
    <s v="Romaguera, Moen and Hagenes Pharmaceutical Limited"/>
    <s v="Sopot"/>
    <x v="0"/>
    <n v="54.441899999999997"/>
    <n v="18.547799999999999"/>
    <s v="Hospital"/>
    <s v="Private"/>
    <x v="89"/>
    <x v="2"/>
    <x v="3"/>
    <x v="85"/>
    <n v="3678"/>
    <x v="0"/>
    <x v="0"/>
    <s v="Jimmy Grey"/>
    <s v="Alisha Cordwell"/>
    <s v="Charlie"/>
  </r>
  <r>
    <s v="Gottlieb-Cruickshank  "/>
    <s v="Monahan Ltd "/>
    <s v="Oświęcim"/>
    <x v="0"/>
    <n v="50.033299999999997"/>
    <n v="19.2333"/>
    <s v="Hospital"/>
    <s v="Government"/>
    <x v="75"/>
    <x v="0"/>
    <x v="6"/>
    <x v="72"/>
    <n v="7080"/>
    <x v="0"/>
    <x v="0"/>
    <s v="Morris Garcia"/>
    <s v="Tracy Banks"/>
    <s v="Bravo"/>
  </r>
  <r>
    <s v="Gottlieb-Cruickshank  "/>
    <s v="Schmitt LLC Pharm"/>
    <s v="Nysa"/>
    <x v="0"/>
    <n v="50.473799999999997"/>
    <n v="17.334399999999999"/>
    <s v="Pharmacy"/>
    <s v="Retail"/>
    <x v="54"/>
    <x v="5"/>
    <x v="3"/>
    <x v="53"/>
    <n v="1236"/>
    <x v="4"/>
    <x v="0"/>
    <s v="Alan Ray"/>
    <s v="James Goodwill"/>
    <s v="Alfa"/>
  </r>
  <r>
    <s v="Gottlieb-Cruickshank  "/>
    <s v="Prohaska-Kuhic Pharmacy"/>
    <s v="Wisła"/>
    <x v="0"/>
    <n v="49.666699999999999"/>
    <n v="18.866700000000002"/>
    <s v="Pharmacy"/>
    <s v="Institution"/>
    <x v="106"/>
    <x v="4"/>
    <x v="11"/>
    <x v="101"/>
    <n v="240"/>
    <x v="0"/>
    <x v="0"/>
    <s v="Stella Given"/>
    <s v="Alisha Cordwell"/>
    <s v="Charlie"/>
  </r>
  <r>
    <s v="Gottlieb-Cruickshank  "/>
    <s v="Steuber, Skiles and Kilback Pharma Plc"/>
    <s v="Sosnowiec"/>
    <x v="0"/>
    <n v="50.3"/>
    <n v="19.166699999999999"/>
    <s v="Pharmacy"/>
    <s v="Retail"/>
    <x v="7"/>
    <x v="0"/>
    <x v="0"/>
    <x v="7"/>
    <n v="2968"/>
    <x v="4"/>
    <x v="0"/>
    <s v="Jimmy Grey"/>
    <s v="Alisha Cordwell"/>
    <s v="Charlie"/>
  </r>
  <r>
    <s v="Gottlieb-Cruickshank  "/>
    <s v="Funk PLC Pharmaceutical Limited"/>
    <s v="Mikołów"/>
    <x v="0"/>
    <n v="50.170999999999999"/>
    <n v="18.9041"/>
    <s v="Hospital"/>
    <s v="Government"/>
    <x v="107"/>
    <x v="3"/>
    <x v="6"/>
    <x v="102"/>
    <n v="340"/>
    <x v="0"/>
    <x v="0"/>
    <s v="Thompson Crawford"/>
    <s v="James Goodwill"/>
    <s v="Alfa"/>
  </r>
  <r>
    <s v="Gottlieb-Cruickshank  "/>
    <s v="Keeling LLC Pharmacy"/>
    <s v="Olsztyn"/>
    <x v="0"/>
    <n v="53.78"/>
    <n v="20.494199999999999"/>
    <s v="Pharmacy"/>
    <s v="Retail"/>
    <x v="47"/>
    <x v="0"/>
    <x v="6"/>
    <x v="46"/>
    <n v="990"/>
    <x v="0"/>
    <x v="0"/>
    <s v="Anne Wu"/>
    <s v="Britanny Bold"/>
    <s v="Delta"/>
  </r>
  <r>
    <s v="Gottlieb-Cruickshank  "/>
    <s v="Spencer-Jerde Pharmacy"/>
    <s v="Przeworsk"/>
    <x v="0"/>
    <n v="50.059100000000001"/>
    <n v="22.4941"/>
    <s v="Pharmacy"/>
    <s v="Institution"/>
    <x v="108"/>
    <x v="1"/>
    <x v="5"/>
    <x v="103"/>
    <n v="2000"/>
    <x v="0"/>
    <x v="0"/>
    <s v="Abigail Thompson"/>
    <s v="Tracy Banks"/>
    <s v="Bravo"/>
  </r>
  <r>
    <s v="Gottlieb-Cruickshank  "/>
    <s v="Moore PLC Pharmaceutical Ltd"/>
    <s v="Łomża"/>
    <x v="0"/>
    <n v="53.183300000000003"/>
    <n v="22.083300000000001"/>
    <s v="Pharmacy"/>
    <s v="Retail"/>
    <x v="109"/>
    <x v="0"/>
    <x v="3"/>
    <x v="104"/>
    <n v="840"/>
    <x v="4"/>
    <x v="0"/>
    <s v="Jimmy Grey"/>
    <s v="Alisha Cordwell"/>
    <s v="Charlie"/>
  </r>
  <r>
    <s v="Gottlieb-Cruickshank  "/>
    <s v="Torp-Fisher Pharma Plc"/>
    <s v="Gorlice"/>
    <x v="0"/>
    <n v="49.6556"/>
    <n v="21.160399999999999"/>
    <s v="Hospital"/>
    <s v="Government"/>
    <x v="110"/>
    <x v="2"/>
    <x v="5"/>
    <x v="105"/>
    <n v="565"/>
    <x v="0"/>
    <x v="0"/>
    <s v="Steve Pepple"/>
    <s v="Tracy Banks"/>
    <s v="Bravo"/>
  </r>
  <r>
    <s v="Gottlieb-Cruickshank  "/>
    <s v="Botsford and Sons Pharmaceutical Ltd"/>
    <s v="Kołobrzeg"/>
    <x v="0"/>
    <n v="54.166699999999999"/>
    <n v="15.566700000000001"/>
    <s v="Pharmacy"/>
    <s v="Institution"/>
    <x v="111"/>
    <x v="5"/>
    <x v="23"/>
    <x v="106"/>
    <n v="4488"/>
    <x v="0"/>
    <x v="0"/>
    <s v="Morris Garcia"/>
    <s v="Tracy Banks"/>
    <s v="Bravo"/>
  </r>
  <r>
    <s v="Gottlieb-Cruickshank  "/>
    <s v="Hermiston LLC "/>
    <s v="Strzegom"/>
    <x v="0"/>
    <n v="51"/>
    <n v="16.333300000000001"/>
    <s v="Pharmacy"/>
    <s v="Institution"/>
    <x v="112"/>
    <x v="2"/>
    <x v="5"/>
    <x v="107"/>
    <n v="1595"/>
    <x v="0"/>
    <x v="0"/>
    <s v="Jessica Smith"/>
    <s v="Britanny Bold"/>
    <s v="Delta"/>
  </r>
  <r>
    <s v="Gottlieb-Cruickshank  "/>
    <s v="Funk PLC Pharmaceutical Limited"/>
    <s v="Mikołów"/>
    <x v="0"/>
    <n v="50.170999999999999"/>
    <n v="18.9041"/>
    <s v="Hospital"/>
    <s v="Government"/>
    <x v="102"/>
    <x v="0"/>
    <x v="6"/>
    <x v="97"/>
    <n v="5130"/>
    <x v="0"/>
    <x v="0"/>
    <s v="Steve Pepple"/>
    <s v="Tracy Banks"/>
    <s v="Bravo"/>
  </r>
  <r>
    <s v="Gottlieb-Cruickshank  "/>
    <s v="Purdy Ltd Pharmaceutical Limited"/>
    <s v="Głuchołazy"/>
    <x v="0"/>
    <n v="50.313099999999999"/>
    <n v="17.374199999999998"/>
    <s v="Hospital"/>
    <s v="Government"/>
    <x v="113"/>
    <x v="3"/>
    <x v="3"/>
    <x v="108"/>
    <n v="2070"/>
    <x v="0"/>
    <x v="0"/>
    <s v="Morris Garcia"/>
    <s v="Tracy Banks"/>
    <s v="Bravo"/>
  </r>
  <r>
    <s v="Gottlieb-Cruickshank  "/>
    <s v="Heathcote, Grant and Witting Pharm"/>
    <s v="Bielsko-Biała"/>
    <x v="1"/>
    <n v="49.822499999999998"/>
    <n v="19.0444"/>
    <s v="Pharmacy"/>
    <s v="Institution"/>
    <x v="114"/>
    <x v="3"/>
    <x v="3"/>
    <x v="109"/>
    <n v="2250"/>
    <x v="0"/>
    <x v="0"/>
    <s v="Steve Pepple"/>
    <s v="Tracy Banks"/>
    <s v="Bravo"/>
  </r>
  <r>
    <s v="Gottlieb-Cruickshank  "/>
    <s v="Miller-Satterfield Pharma Plc"/>
    <s v="Nidzica"/>
    <x v="1"/>
    <n v="53.3583"/>
    <n v="20.425000000000001"/>
    <s v="Hospital"/>
    <s v="Private"/>
    <x v="110"/>
    <x v="2"/>
    <x v="3"/>
    <x v="105"/>
    <n v="678"/>
    <x v="0"/>
    <x v="0"/>
    <s v="Sheila Stones"/>
    <s v="Britanny Bold"/>
    <s v="Delta"/>
  </r>
  <r>
    <s v="Gottlieb-Cruickshank  "/>
    <s v="Schowalter, Runolfsson and VonRueden Pharmaceutical Ltd"/>
    <s v="Grudziądz"/>
    <x v="0"/>
    <n v="53.4925"/>
    <n v="18.7761"/>
    <s v="Pharmacy"/>
    <s v="Retail"/>
    <x v="103"/>
    <x v="0"/>
    <x v="8"/>
    <x v="98"/>
    <n v="722"/>
    <x v="0"/>
    <x v="0"/>
    <s v="Morris Garcia"/>
    <s v="Tracy Banks"/>
    <s v="Bravo"/>
  </r>
  <r>
    <s v="Gottlieb-Cruickshank  "/>
    <s v="Miller-Satterfield Pharma Plc"/>
    <s v="Nidzica"/>
    <x v="0"/>
    <n v="53.3583"/>
    <n v="20.425000000000001"/>
    <s v="Hospital"/>
    <s v="Private"/>
    <x v="115"/>
    <x v="3"/>
    <x v="11"/>
    <x v="110"/>
    <n v="1836"/>
    <x v="0"/>
    <x v="0"/>
    <s v="Daniel Gates"/>
    <s v="Alisha Cordwell"/>
    <s v="Charlie"/>
  </r>
  <r>
    <s v="Gottlieb-Cruickshank  "/>
    <s v="Crona Group Pharma Plc"/>
    <s v="Kwidzyn"/>
    <x v="0"/>
    <n v="53.735799999999998"/>
    <n v="18.930800000000001"/>
    <s v="Pharmacy"/>
    <s v="Institution"/>
    <x v="116"/>
    <x v="4"/>
    <x v="11"/>
    <x v="111"/>
    <n v="1770"/>
    <x v="4"/>
    <x v="0"/>
    <s v="Thompson Crawford"/>
    <s v="James Goodwill"/>
    <s v="Alfa"/>
  </r>
  <r>
    <s v="Gottlieb-Cruickshank  "/>
    <s v="Mills Inc Pharma Plc"/>
    <s v="Bydgoszcz"/>
    <x v="1"/>
    <n v="53.116700000000002"/>
    <n v="18"/>
    <s v="Hospital"/>
    <s v="Private"/>
    <x v="94"/>
    <x v="1"/>
    <x v="15"/>
    <x v="90"/>
    <n v="401"/>
    <x v="0"/>
    <x v="0"/>
    <s v="Stella Given"/>
    <s v="Alisha Cordwell"/>
    <s v="Charlie"/>
  </r>
  <r>
    <s v="Gottlieb-Cruickshank  "/>
    <s v="Leuschke, Waters and Schowalter Pharmaceutical Ltd"/>
    <s v="Krapkowice"/>
    <x v="0"/>
    <n v="50.475099999999998"/>
    <n v="17.965399999999999"/>
    <s v="Pharmacy"/>
    <s v="Institution"/>
    <x v="117"/>
    <x v="2"/>
    <x v="5"/>
    <x v="112"/>
    <n v="2225"/>
    <x v="0"/>
    <x v="0"/>
    <s v="Abigail Thompson"/>
    <s v="Tracy Banks"/>
    <s v="Bravo"/>
  </r>
  <r>
    <s v="Gottlieb-Cruickshank  "/>
    <s v="Herman-Koss Pharm"/>
    <s v="Lubsko"/>
    <x v="0"/>
    <n v="51.787700000000001"/>
    <n v="14.9724"/>
    <s v="Hospital"/>
    <s v="Private"/>
    <x v="94"/>
    <x v="1"/>
    <x v="4"/>
    <x v="90"/>
    <n v="8020"/>
    <x v="0"/>
    <x v="0"/>
    <s v="Stella Given"/>
    <s v="Alisha Cordwell"/>
    <s v="Charlie"/>
  </r>
  <r>
    <s v="Gottlieb-Cruickshank  "/>
    <s v="Steuber, Skiles and Kilback Pharma Plc"/>
    <s v="Sosnowiec"/>
    <x v="1"/>
    <n v="50.3"/>
    <n v="19.166699999999999"/>
    <s v="Pharmacy"/>
    <s v="Retail"/>
    <x v="82"/>
    <x v="3"/>
    <x v="6"/>
    <x v="79"/>
    <n v="6550"/>
    <x v="0"/>
    <x v="0"/>
    <s v="Abigail Thompson"/>
    <s v="Tracy Banks"/>
    <s v="Bravo"/>
  </r>
  <r>
    <s v="Gottlieb-Cruickshank  "/>
    <s v="Kling Inc Pharmaceutical Ltd"/>
    <s v="Ostrowiec Świętokrzyski"/>
    <x v="0"/>
    <n v="50.933300000000003"/>
    <n v="21.4"/>
    <s v="Pharmacy"/>
    <s v="Institution"/>
    <x v="118"/>
    <x v="2"/>
    <x v="3"/>
    <x v="113"/>
    <n v="1806"/>
    <x v="0"/>
    <x v="0"/>
    <s v="Anne Wu"/>
    <s v="Britanny Bold"/>
    <s v="Delta"/>
  </r>
  <r>
    <s v="Gottlieb-Cruickshank  "/>
    <s v="Feest PLC "/>
    <s v="Świecie"/>
    <x v="0"/>
    <n v="53.416699999999999"/>
    <n v="18.433299999999999"/>
    <s v="Pharmacy"/>
    <s v="Retail"/>
    <x v="119"/>
    <x v="5"/>
    <x v="0"/>
    <x v="114"/>
    <n v="292"/>
    <x v="0"/>
    <x v="0"/>
    <s v="Daniel Gates"/>
    <s v="Alisha Cordwell"/>
    <s v="Charlie"/>
  </r>
  <r>
    <s v="Gottlieb-Cruickshank  "/>
    <s v="Bernier, Murphy and Rau Pharmaceutical Ltd"/>
    <s v="Ruda Śląska"/>
    <x v="0"/>
    <n v="50.262799999999999"/>
    <n v="18.8536"/>
    <s v="Pharmacy"/>
    <s v="Institution"/>
    <x v="120"/>
    <x v="3"/>
    <x v="6"/>
    <x v="115"/>
    <n v="3430"/>
    <x v="0"/>
    <x v="0"/>
    <s v="Anne Wu"/>
    <s v="Britanny Bold"/>
    <s v="Delta"/>
  </r>
  <r>
    <s v="Gottlieb-Cruickshank  "/>
    <s v="Gleichner, Bahringer and Morar Pharma Plc"/>
    <s v="Gostynin"/>
    <x v="0"/>
    <n v="52.416699999999999"/>
    <n v="19.466699999999999"/>
    <s v="Hospital"/>
    <s v="Private"/>
    <x v="121"/>
    <x v="3"/>
    <x v="6"/>
    <x v="116"/>
    <n v="350"/>
    <x v="0"/>
    <x v="0"/>
    <s v="Erica Jones"/>
    <s v="James Goodwill"/>
    <s v="Alfa"/>
  </r>
  <r>
    <s v="Gottlieb-Cruickshank  "/>
    <s v="Herman-Koss Pharm"/>
    <s v="Lubsko"/>
    <x v="0"/>
    <n v="51.787700000000001"/>
    <n v="14.9724"/>
    <s v="Hospital"/>
    <s v="Private"/>
    <x v="122"/>
    <x v="1"/>
    <x v="3"/>
    <x v="117"/>
    <n v="3984"/>
    <x v="0"/>
    <x v="0"/>
    <s v="Anne Wu"/>
    <s v="Britanny Bold"/>
    <s v="Delta"/>
  </r>
  <r>
    <s v="Gottlieb-Cruickshank  "/>
    <s v="Romaguera, Moen and Hagenes Pharmaceutical Limited"/>
    <s v="Sopot"/>
    <x v="0"/>
    <n v="54.441899999999997"/>
    <n v="18.547799999999999"/>
    <s v="Hospital"/>
    <s v="Private"/>
    <x v="123"/>
    <x v="4"/>
    <x v="8"/>
    <x v="118"/>
    <n v="840"/>
    <x v="0"/>
    <x v="0"/>
    <s v="Sheila Stones"/>
    <s v="Britanny Bold"/>
    <s v="Delta"/>
  </r>
  <r>
    <s v="Gottlieb-Cruickshank  "/>
    <s v="Upton, Abernathy and Goodwin Pharmaceutical Ltd"/>
    <s v="Jarosław"/>
    <x v="0"/>
    <n v="50.016199999999998"/>
    <n v="22.677800000000001"/>
    <s v="Hospital"/>
    <s v="Government"/>
    <x v="124"/>
    <x v="5"/>
    <x v="15"/>
    <x v="118"/>
    <n v="420"/>
    <x v="0"/>
    <x v="0"/>
    <s v="Stella Given"/>
    <s v="Alisha Cordwell"/>
    <s v="Charlie"/>
  </r>
  <r>
    <s v="Gottlieb-Cruickshank  "/>
    <s v="Block-Romaguera Pharmaceutical Limited"/>
    <s v="Tarnowskie Góry"/>
    <x v="0"/>
    <n v="50.45"/>
    <n v="18.866700000000002"/>
    <s v="Hospital"/>
    <s v="Private"/>
    <x v="69"/>
    <x v="3"/>
    <x v="5"/>
    <x v="66"/>
    <n v="3970"/>
    <x v="0"/>
    <x v="0"/>
    <s v="Abigail Thompson"/>
    <s v="Tracy Banks"/>
    <s v="Bravo"/>
  </r>
  <r>
    <s v="Gottlieb-Cruickshank  "/>
    <s v="Erdman PLC Pharmacy"/>
    <s v="Ozimek"/>
    <x v="0"/>
    <n v="50.673099999999998"/>
    <n v="18.213100000000001"/>
    <s v="Pharmacy"/>
    <s v="Institution"/>
    <x v="91"/>
    <x v="1"/>
    <x v="0"/>
    <x v="87"/>
    <n v="2444"/>
    <x v="0"/>
    <x v="0"/>
    <s v="Sheila Stones"/>
    <s v="Britanny Bold"/>
    <s v="Delta"/>
  </r>
  <r>
    <s v="Gottlieb-Cruickshank  "/>
    <s v="Yundt-Crona Pharmaceutical Ltd"/>
    <s v="Siemiatycze"/>
    <x v="0"/>
    <n v="52.427199999999999"/>
    <n v="22.862500000000001"/>
    <s v="Hospital"/>
    <s v="Private"/>
    <x v="120"/>
    <x v="3"/>
    <x v="8"/>
    <x v="115"/>
    <n v="686"/>
    <x v="0"/>
    <x v="0"/>
    <s v="Mary Gerrard"/>
    <s v="Britanny Bold"/>
    <s v="Delta"/>
  </r>
  <r>
    <s v="Gottlieb-Cruickshank  "/>
    <s v="Miller-Satterfield Pharma Plc"/>
    <s v="Nidzica"/>
    <x v="0"/>
    <n v="53.3583"/>
    <n v="20.425000000000001"/>
    <s v="Hospital"/>
    <s v="Private"/>
    <x v="29"/>
    <x v="3"/>
    <x v="8"/>
    <x v="29"/>
    <n v="1384"/>
    <x v="0"/>
    <x v="0"/>
    <s v="Daniel Gates"/>
    <s v="Alisha Cordwell"/>
    <s v="Charlie"/>
  </r>
  <r>
    <s v="Gottlieb-Cruickshank  "/>
    <s v="Mante-Grady Pharm"/>
    <s v="Lubaczów"/>
    <x v="0"/>
    <n v="50.1556"/>
    <n v="23.123000000000001"/>
    <s v="Pharmacy"/>
    <s v="Institution"/>
    <x v="35"/>
    <x v="4"/>
    <x v="3"/>
    <x v="35"/>
    <n v="4608"/>
    <x v="0"/>
    <x v="0"/>
    <s v="Thompson Crawford"/>
    <s v="James Goodwill"/>
    <s v="Alfa"/>
  </r>
  <r>
    <s v="Gottlieb-Cruickshank  "/>
    <s v="Hill Ltd "/>
    <s v="Gliwice"/>
    <x v="0"/>
    <n v="50.297600000000003"/>
    <n v="18.676600000000001"/>
    <s v="Pharmacy"/>
    <s v="Retail"/>
    <x v="125"/>
    <x v="0"/>
    <x v="17"/>
    <x v="119"/>
    <n v="18000"/>
    <x v="0"/>
    <x v="0"/>
    <s v="Sheila Stones"/>
    <s v="Britanny Bold"/>
    <s v="Delta"/>
  </r>
  <r>
    <s v="Gottlieb-Cruickshank  "/>
    <s v="Leannon-West Pharmacy"/>
    <s v="Cieszyn"/>
    <x v="0"/>
    <n v="49.75"/>
    <n v="18.633299999999998"/>
    <s v="Pharmacy"/>
    <s v="Retail"/>
    <x v="126"/>
    <x v="3"/>
    <x v="6"/>
    <x v="7"/>
    <n v="7420"/>
    <x v="0"/>
    <x v="0"/>
    <s v="Jessica Smith"/>
    <s v="Britanny Bold"/>
    <s v="Delta"/>
  </r>
  <r>
    <s v="Gottlieb-Cruickshank  "/>
    <s v="Okuneva-Corkery "/>
    <s v="Kostrzyn nad Odrą"/>
    <x v="0"/>
    <n v="52.588299999999997"/>
    <n v="14.666700000000001"/>
    <s v="Hospital"/>
    <s v="Government"/>
    <x v="11"/>
    <x v="3"/>
    <x v="15"/>
    <x v="11"/>
    <n v="249"/>
    <x v="0"/>
    <x v="0"/>
    <s v="Jimmy Grey"/>
    <s v="Alisha Cordwell"/>
    <s v="Charlie"/>
  </r>
  <r>
    <s v="Gottlieb-Cruickshank  "/>
    <s v="Ondricka Ltd Pharmacy"/>
    <s v="Świnoujście"/>
    <x v="0"/>
    <n v="53.916699999999999"/>
    <n v="14.25"/>
    <s v="Hospital"/>
    <s v="Government"/>
    <x v="50"/>
    <x v="1"/>
    <x v="24"/>
    <x v="49"/>
    <n v="106000"/>
    <x v="0"/>
    <x v="0"/>
    <s v="Morris Garcia"/>
    <s v="Tracy Banks"/>
    <s v="Bravo"/>
  </r>
  <r>
    <s v="Gottlieb-Cruickshank  "/>
    <s v="Boyer and Sons Pharmaceutical Limited"/>
    <s v="Wałcz"/>
    <x v="0"/>
    <n v="53.2667"/>
    <n v="16.466699999999999"/>
    <s v="Hospital"/>
    <s v="Government"/>
    <x v="83"/>
    <x v="3"/>
    <x v="6"/>
    <x v="80"/>
    <n v="3900"/>
    <x v="0"/>
    <x v="0"/>
    <s v="Alan Ray"/>
    <s v="James Goodwill"/>
    <s v="Alfa"/>
  </r>
  <r>
    <s v="Gottlieb-Cruickshank  "/>
    <s v="Gottlieb-Cruickshank Pharma Plc"/>
    <s v="Brzeszcze"/>
    <x v="0"/>
    <n v="50"/>
    <n v="19.149999999999999"/>
    <s v="Hospital"/>
    <s v="Private"/>
    <x v="104"/>
    <x v="0"/>
    <x v="5"/>
    <x v="99"/>
    <n v="1670"/>
    <x v="0"/>
    <x v="0"/>
    <s v="Steve Pepple"/>
    <s v="Tracy Banks"/>
    <s v="Bravo"/>
  </r>
  <r>
    <s v="Gottlieb-Cruickshank  "/>
    <s v="Hansen, Fadel and Schroeder Pharm"/>
    <s v="Gniezno"/>
    <x v="0"/>
    <n v="52.533299999999997"/>
    <n v="17.600000000000001"/>
    <s v="Pharmacy"/>
    <s v="Retail"/>
    <x v="127"/>
    <x v="3"/>
    <x v="5"/>
    <x v="120"/>
    <n v="2080"/>
    <x v="0"/>
    <x v="0"/>
    <s v="Jessica Smith"/>
    <s v="Britanny Bold"/>
    <s v="Delta"/>
  </r>
  <r>
    <s v="Gottlieb-Cruickshank  "/>
    <s v="Parisian, Hagenes and Skiles Pharma Plc"/>
    <s v="Ciechocinek"/>
    <x v="0"/>
    <n v="52.883299999999998"/>
    <n v="18.783300000000001"/>
    <s v="Pharmacy"/>
    <s v="Retail"/>
    <x v="101"/>
    <x v="4"/>
    <x v="17"/>
    <x v="96"/>
    <n v="14100"/>
    <x v="0"/>
    <x v="0"/>
    <s v="Thompson Crawford"/>
    <s v="James Goodwill"/>
    <s v="Alfa"/>
  </r>
  <r>
    <s v="Gottlieb-Cruickshank  "/>
    <s v="Bashirian-Kassulke Pharma Plc"/>
    <s v="Kraków"/>
    <x v="0"/>
    <n v="50.061399999999999"/>
    <n v="19.937200000000001"/>
    <s v="Hospital"/>
    <s v="Private"/>
    <x v="10"/>
    <x v="0"/>
    <x v="8"/>
    <x v="10"/>
    <n v="1524"/>
    <x v="0"/>
    <x v="0"/>
    <s v="Jimmy Grey"/>
    <s v="Alisha Cordwell"/>
    <s v="Charlie"/>
  </r>
  <r>
    <s v="Gottlieb-Cruickshank  "/>
    <s v="Beahan, Littel and Ondricka Pharmacy"/>
    <s v="Łęczyca"/>
    <x v="0"/>
    <n v="52.058300000000003"/>
    <n v="19.2"/>
    <s v="Pharmacy"/>
    <s v="Institution"/>
    <x v="51"/>
    <x v="2"/>
    <x v="25"/>
    <x v="50"/>
    <n v="12274"/>
    <x v="0"/>
    <x v="0"/>
    <s v="Steve Pepple"/>
    <s v="Tracy Banks"/>
    <s v="Bravo"/>
  </r>
  <r>
    <s v="Gottlieb-Cruickshank  "/>
    <s v="Prohaska-Kuhic Pharmacy"/>
    <s v="Wisła"/>
    <x v="0"/>
    <n v="49.666699999999999"/>
    <n v="18.866700000000002"/>
    <s v="Pharmacy"/>
    <s v="Institution"/>
    <x v="128"/>
    <x v="5"/>
    <x v="8"/>
    <x v="121"/>
    <n v="754"/>
    <x v="0"/>
    <x v="0"/>
    <s v="Jessica Smith"/>
    <s v="Britanny Bold"/>
    <s v="Delta"/>
  </r>
  <r>
    <s v="Gottlieb-Cruickshank  "/>
    <s v="Romaguera, Moen and Hagenes Pharmaceutical Limited"/>
    <s v="Sopot"/>
    <x v="0"/>
    <n v="54.441899999999997"/>
    <n v="18.547799999999999"/>
    <s v="Hospital"/>
    <s v="Private"/>
    <x v="37"/>
    <x v="1"/>
    <x v="15"/>
    <x v="4"/>
    <n v="458"/>
    <x v="0"/>
    <x v="0"/>
    <s v="Abigail Thompson"/>
    <s v="Tracy Banks"/>
    <s v="Bravo"/>
  </r>
  <r>
    <s v="Gottlieb-Cruickshank  "/>
    <s v="Schaefer Group Pharmaceutical Limited"/>
    <s v="Ustroń"/>
    <x v="0"/>
    <n v="49.716700000000003"/>
    <n v="18.816700000000001"/>
    <s v="Hospital"/>
    <s v="Government"/>
    <x v="123"/>
    <x v="4"/>
    <x v="15"/>
    <x v="118"/>
    <n v="420"/>
    <x v="0"/>
    <x v="0"/>
    <s v="Jimmy Grey"/>
    <s v="Alisha Cordwell"/>
    <s v="Charlie"/>
  </r>
  <r>
    <s v="Gottlieb-Cruickshank  "/>
    <s v="Parisian, Hagenes and Skiles Pharma Plc"/>
    <s v="Ciechocinek"/>
    <x v="0"/>
    <n v="52.883299999999998"/>
    <n v="18.783300000000001"/>
    <s v="Pharmacy"/>
    <s v="Retail"/>
    <x v="129"/>
    <x v="3"/>
    <x v="3"/>
    <x v="12"/>
    <n v="4710"/>
    <x v="0"/>
    <x v="0"/>
    <s v="Mary Gerrard"/>
    <s v="Britanny Bold"/>
    <s v="Delta"/>
  </r>
  <r>
    <s v="Gottlieb-Cruickshank  "/>
    <s v="Senger-Kirlin Pharmacy"/>
    <s v="Kobyłka"/>
    <x v="0"/>
    <n v="52.339500000000001"/>
    <n v="21.195900000000002"/>
    <s v="Hospital"/>
    <s v="Government"/>
    <x v="130"/>
    <x v="1"/>
    <x v="11"/>
    <x v="122"/>
    <n v="2340"/>
    <x v="0"/>
    <x v="0"/>
    <s v="Abigail Thompson"/>
    <s v="Tracy Banks"/>
    <s v="Bravo"/>
  </r>
  <r>
    <s v="Gottlieb-Cruickshank  "/>
    <s v="Will and Sons Pharma Plc"/>
    <s v="Gniew"/>
    <x v="0"/>
    <n v="53.833300000000001"/>
    <n v="18.833300000000001"/>
    <s v="Pharmacy"/>
    <s v="Retail"/>
    <x v="120"/>
    <x v="3"/>
    <x v="6"/>
    <x v="115"/>
    <n v="3430"/>
    <x v="2"/>
    <x v="0"/>
    <s v="Jessica Smith"/>
    <s v="Britanny Bold"/>
    <s v="Delta"/>
  </r>
  <r>
    <s v="Gottlieb-Cruickshank  "/>
    <s v="Kilback, Beer and Batz Pharma Plc"/>
    <s v="Kutno"/>
    <x v="0"/>
    <n v="52.2333"/>
    <n v="19.366700000000002"/>
    <s v="Pharmacy"/>
    <s v="Retail"/>
    <x v="131"/>
    <x v="0"/>
    <x v="11"/>
    <x v="123"/>
    <n v="516"/>
    <x v="0"/>
    <x v="0"/>
    <s v="Alan Ray"/>
    <s v="James Goodwill"/>
    <s v="Alfa"/>
  </r>
  <r>
    <s v="Gottlieb-Cruickshank  "/>
    <s v="Leffler-Russel Pharm"/>
    <s v="Konstancin-Jeziorna"/>
    <x v="0"/>
    <n v="52.093800000000002"/>
    <n v="21.117599999999999"/>
    <s v="Hospital"/>
    <s v="Private"/>
    <x v="26"/>
    <x v="5"/>
    <x v="8"/>
    <x v="26"/>
    <n v="1022"/>
    <x v="0"/>
    <x v="0"/>
    <s v="Steve Pepple"/>
    <s v="Tracy Banks"/>
    <s v="Bravo"/>
  </r>
  <r>
    <s v="Gottlieb-Cruickshank  "/>
    <s v="Schaefer Group Pharmaceutical Limited"/>
    <s v="Ustroń"/>
    <x v="0"/>
    <n v="49.716700000000003"/>
    <n v="18.816700000000001"/>
    <s v="Hospital"/>
    <s v="Government"/>
    <x v="132"/>
    <x v="1"/>
    <x v="4"/>
    <x v="4"/>
    <n v="9160"/>
    <x v="0"/>
    <x v="0"/>
    <s v="Mary Gerrard"/>
    <s v="Britanny Bold"/>
    <s v="Delta"/>
  </r>
  <r>
    <s v="Gottlieb-Cruickshank  "/>
    <s v="Welch-Orn "/>
    <s v="Chełmno"/>
    <x v="0"/>
    <n v="53.349200000000003"/>
    <n v="18.426100000000002"/>
    <s v="Hospital"/>
    <s v="Private"/>
    <x v="133"/>
    <x v="4"/>
    <x v="5"/>
    <x v="124"/>
    <n v="2190"/>
    <x v="0"/>
    <x v="0"/>
    <s v="Mary Gerrard"/>
    <s v="Britanny Bold"/>
    <s v="Delta"/>
  </r>
  <r>
    <s v="Gottlieb-Cruickshank  "/>
    <s v="Nader-Gaylord Pharmaceutical Limited"/>
    <s v="Sobótka"/>
    <x v="0"/>
    <n v="50.898600000000002"/>
    <n v="16.744399999999999"/>
    <s v="Hospital"/>
    <s v="Private"/>
    <x v="134"/>
    <x v="5"/>
    <x v="6"/>
    <x v="24"/>
    <n v="240"/>
    <x v="0"/>
    <x v="0"/>
    <s v="Thompson Crawford"/>
    <s v="James Goodwill"/>
    <s v="Alfa"/>
  </r>
  <r>
    <s v="Gottlieb-Cruickshank  "/>
    <s v="Heller-Abernathy "/>
    <s v="Brzeg Dolny"/>
    <x v="0"/>
    <n v="51.273000000000003"/>
    <n v="16.708100000000002"/>
    <s v="Hospital"/>
    <s v="Private"/>
    <x v="119"/>
    <x v="5"/>
    <x v="8"/>
    <x v="114"/>
    <n v="146"/>
    <x v="0"/>
    <x v="0"/>
    <s v="Jessica Smith"/>
    <s v="Britanny Bold"/>
    <s v="Delta"/>
  </r>
  <r>
    <s v="Gottlieb-Cruickshank  "/>
    <s v="Upton, Abernathy and Goodwin Pharmaceutical Ltd"/>
    <s v="Jarosław"/>
    <x v="0"/>
    <n v="50.016199999999998"/>
    <n v="22.677800000000001"/>
    <s v="Hospital"/>
    <s v="Government"/>
    <x v="135"/>
    <x v="0"/>
    <x v="0"/>
    <x v="125"/>
    <n v="1216"/>
    <x v="0"/>
    <x v="0"/>
    <s v="Steve Pepple"/>
    <s v="Tracy Banks"/>
    <s v="Bravo"/>
  </r>
  <r>
    <s v="Gottlieb-Cruickshank  "/>
    <s v="Rosenbaum, Klein and Herzog "/>
    <s v="Zbąszyń"/>
    <x v="0"/>
    <n v="52.253100000000003"/>
    <n v="15.9178"/>
    <s v="Hospital"/>
    <s v="Private"/>
    <x v="49"/>
    <x v="2"/>
    <x v="0"/>
    <x v="48"/>
    <n v="3112"/>
    <x v="0"/>
    <x v="0"/>
    <s v="Erica Jones"/>
    <s v="James Goodwill"/>
    <s v="Alfa"/>
  </r>
  <r>
    <s v="Gottlieb-Cruickshank  "/>
    <s v="Rutherford and Sons "/>
    <s v="Gdynia"/>
    <x v="0"/>
    <n v="54.518900000000002"/>
    <n v="18.5319"/>
    <s v="Pharmacy"/>
    <s v="Retail"/>
    <x v="57"/>
    <x v="2"/>
    <x v="15"/>
    <x v="55"/>
    <n v="179"/>
    <x v="0"/>
    <x v="0"/>
    <s v="Jessica Smith"/>
    <s v="Britanny Bold"/>
    <s v="Delta"/>
  </r>
  <r>
    <s v="Gottlieb-Cruickshank  "/>
    <s v="Beier PLC Pharmacy"/>
    <s v="Włocławek"/>
    <x v="0"/>
    <n v="52.65"/>
    <n v="19.05"/>
    <s v="Hospital"/>
    <s v="Private"/>
    <x v="6"/>
    <x v="2"/>
    <x v="15"/>
    <x v="6"/>
    <n v="536"/>
    <x v="0"/>
    <x v="0"/>
    <s v="Thompson Crawford"/>
    <s v="James Goodwill"/>
    <s v="Alfa"/>
  </r>
  <r>
    <s v="Gottlieb-Cruickshank  "/>
    <s v="Trantow LLC Pharma Plc"/>
    <s v="Braniewo"/>
    <x v="0"/>
    <n v="54.383299999999998"/>
    <n v="19.833300000000001"/>
    <s v="Pharmacy"/>
    <s v="Retail"/>
    <x v="49"/>
    <x v="2"/>
    <x v="5"/>
    <x v="48"/>
    <n v="3890"/>
    <x v="0"/>
    <x v="0"/>
    <s v="Alan Ray"/>
    <s v="James Goodwill"/>
    <s v="Alfa"/>
  </r>
  <r>
    <s v="Gottlieb-Cruickshank  "/>
    <s v="Lockman Ltd "/>
    <s v="Połaniec"/>
    <x v="0"/>
    <n v="50.433300000000003"/>
    <n v="21.283300000000001"/>
    <s v="Pharmacy"/>
    <s v="Institution"/>
    <x v="91"/>
    <x v="1"/>
    <x v="6"/>
    <x v="87"/>
    <n v="6110"/>
    <x v="11"/>
    <x v="0"/>
    <s v="Anne Wu"/>
    <s v="Britanny Bold"/>
    <s v="Delta"/>
  </r>
  <r>
    <s v="Gottlieb-Cruickshank  "/>
    <s v="Hermiston and Sons Pharma Plc"/>
    <s v="Bochnia"/>
    <x v="0"/>
    <n v="49.9833"/>
    <n v="20.433299999999999"/>
    <s v="Pharmacy"/>
    <s v="Institution"/>
    <x v="64"/>
    <x v="4"/>
    <x v="15"/>
    <x v="61"/>
    <n v="628"/>
    <x v="0"/>
    <x v="0"/>
    <s v="Mary Gerrard"/>
    <s v="Britanny Bold"/>
    <s v="Delta"/>
  </r>
  <r>
    <s v="Gottlieb-Cruickshank  "/>
    <s v="Rosenbaum, Klein and Herzog "/>
    <s v="Zbąszyń"/>
    <x v="0"/>
    <n v="52.253100000000003"/>
    <n v="15.9178"/>
    <s v="Hospital"/>
    <s v="Private"/>
    <x v="136"/>
    <x v="4"/>
    <x v="0"/>
    <x v="126"/>
    <n v="648"/>
    <x v="0"/>
    <x v="0"/>
    <s v="Erica Jones"/>
    <s v="James Goodwill"/>
    <s v="Alfa"/>
  </r>
  <r>
    <s v="Gottlieb-Cruickshank  "/>
    <s v="Boyer and Sons Pharmaceutical Limited"/>
    <s v="Wałcz"/>
    <x v="0"/>
    <n v="53.2667"/>
    <n v="16.466699999999999"/>
    <s v="Hospital"/>
    <s v="Government"/>
    <x v="137"/>
    <x v="4"/>
    <x v="3"/>
    <x v="127"/>
    <n v="3570"/>
    <x v="3"/>
    <x v="0"/>
    <s v="Sheila Stones"/>
    <s v="Britanny Bold"/>
    <s v="Delta"/>
  </r>
  <r>
    <s v="Gottlieb-Cruickshank  "/>
    <s v="Rogahn-Klein Pharmacy"/>
    <s v="Koronowo"/>
    <x v="0"/>
    <n v="53.313699999999997"/>
    <n v="17.937000000000001"/>
    <s v="Hospital"/>
    <s v="Private"/>
    <x v="138"/>
    <x v="3"/>
    <x v="6"/>
    <x v="128"/>
    <n v="6340"/>
    <x v="0"/>
    <x v="0"/>
    <s v="Abigail Thompson"/>
    <s v="Tracy Banks"/>
    <s v="Bravo"/>
  </r>
  <r>
    <s v="Gottlieb-Cruickshank  "/>
    <s v="Crist, Wisoky and Nolan Pharmaceutical Ltd"/>
    <s v="Toruń"/>
    <x v="0"/>
    <n v="53.0167"/>
    <n v="18.616700000000002"/>
    <s v="Pharmacy"/>
    <s v="Retail"/>
    <x v="139"/>
    <x v="5"/>
    <x v="20"/>
    <x v="129"/>
    <n v="5688"/>
    <x v="0"/>
    <x v="0"/>
    <s v="Stella Given"/>
    <s v="Alisha Cordwell"/>
    <s v="Charlie"/>
  </r>
  <r>
    <s v="Gottlieb-Cruickshank  "/>
    <s v="Kshlerin, Ryan and Leuschke Pharma Plc"/>
    <s v="Zielona Góra"/>
    <x v="0"/>
    <n v="51.939700000000002"/>
    <n v="15.505000000000001"/>
    <s v="Hospital"/>
    <s v="Government"/>
    <x v="140"/>
    <x v="1"/>
    <x v="4"/>
    <x v="130"/>
    <n v="660"/>
    <x v="11"/>
    <x v="0"/>
    <s v="Morris Garcia"/>
    <s v="Tracy Banks"/>
    <s v="Bravo"/>
  </r>
  <r>
    <s v="Gottlieb-Cruickshank  "/>
    <s v="Boyer and Sons Pharmaceutical Limited"/>
    <s v="Wałcz"/>
    <x v="0"/>
    <n v="53.2667"/>
    <n v="16.466699999999999"/>
    <s v="Hospital"/>
    <s v="Government"/>
    <x v="71"/>
    <x v="4"/>
    <x v="3"/>
    <x v="68"/>
    <n v="2310"/>
    <x v="0"/>
    <x v="0"/>
    <s v="Anne Wu"/>
    <s v="Britanny Bold"/>
    <s v="Delta"/>
  </r>
  <r>
    <s v="Gottlieb-Cruickshank  "/>
    <s v="Senger-Kirlin Pharmacy"/>
    <s v="Kobyłka"/>
    <x v="0"/>
    <n v="52.339500000000001"/>
    <n v="21.195900000000002"/>
    <s v="Hospital"/>
    <s v="Government"/>
    <x v="141"/>
    <x v="2"/>
    <x v="8"/>
    <x v="131"/>
    <n v="1156"/>
    <x v="0"/>
    <x v="0"/>
    <s v="Jimmy Grey"/>
    <s v="Alisha Cordwell"/>
    <s v="Charlie"/>
  </r>
  <r>
    <s v="Gottlieb-Cruickshank  "/>
    <s v="Herman-Koss Pharm"/>
    <s v="Lubsko"/>
    <x v="0"/>
    <n v="51.787700000000001"/>
    <n v="14.9724"/>
    <s v="Hospital"/>
    <s v="Private"/>
    <x v="142"/>
    <x v="2"/>
    <x v="8"/>
    <x v="132"/>
    <n v="1242"/>
    <x v="0"/>
    <x v="0"/>
    <s v="Steve Pepple"/>
    <s v="Tracy Banks"/>
    <s v="Bravo"/>
  </r>
  <r>
    <s v="Gottlieb-Cruickshank  "/>
    <s v="Boyer and Sons Pharmaceutical Limited"/>
    <s v="Wałcz"/>
    <x v="0"/>
    <n v="53.2667"/>
    <n v="16.466699999999999"/>
    <s v="Hospital"/>
    <s v="Government"/>
    <x v="143"/>
    <x v="5"/>
    <x v="0"/>
    <x v="133"/>
    <n v="1636"/>
    <x v="8"/>
    <x v="0"/>
    <s v="Anne Wu"/>
    <s v="Britanny Bold"/>
    <s v="Delta"/>
  </r>
  <r>
    <s v="Gottlieb-Cruickshank  "/>
    <s v="Wintheiser, Breitenberg and Gottlieb Pharmaceutical Limited"/>
    <s v="Milanówek"/>
    <x v="0"/>
    <n v="52.124299999999998"/>
    <n v="20.665400000000002"/>
    <s v="Pharmacy"/>
    <s v="Retail"/>
    <x v="144"/>
    <x v="1"/>
    <x v="19"/>
    <x v="134"/>
    <n v="16512"/>
    <x v="0"/>
    <x v="0"/>
    <s v="Jessica Smith"/>
    <s v="Britanny Bold"/>
    <s v="Delta"/>
  </r>
  <r>
    <s v="Gottlieb-Cruickshank  "/>
    <s v="Cormier, Dietrich and Zulauf Pharma Plc"/>
    <s v="Puławy"/>
    <x v="0"/>
    <n v="51.416600000000003"/>
    <n v="21.9694"/>
    <s v="Hospital"/>
    <s v="Government"/>
    <x v="67"/>
    <x v="5"/>
    <x v="8"/>
    <x v="64"/>
    <n v="1426"/>
    <x v="10"/>
    <x v="0"/>
    <s v="Abigail Thompson"/>
    <s v="Tracy Banks"/>
    <s v="Bravo"/>
  </r>
  <r>
    <s v="Gottlieb-Cruickshank  "/>
    <s v="Crona PLC Pharma Plc"/>
    <s v="Białogard"/>
    <x v="0"/>
    <n v="54.006999999999998"/>
    <n v="15.987500000000001"/>
    <s v="Hospital"/>
    <s v="Private"/>
    <x v="145"/>
    <x v="0"/>
    <x v="0"/>
    <x v="135"/>
    <n v="1616"/>
    <x v="0"/>
    <x v="0"/>
    <s v="Alan Ray"/>
    <s v="James Goodwill"/>
    <s v="Alfa"/>
  </r>
  <r>
    <s v="Gottlieb-Cruickshank  "/>
    <s v="Rowe PLC Pharmaceutical Ltd"/>
    <s v="Kęty"/>
    <x v="1"/>
    <n v="49.882100000000001"/>
    <n v="19.223299999999998"/>
    <s v="Pharmacy"/>
    <s v="Institution"/>
    <x v="108"/>
    <x v="1"/>
    <x v="15"/>
    <x v="103"/>
    <n v="400"/>
    <x v="5"/>
    <x v="0"/>
    <s v="Abigail Thompson"/>
    <s v="Tracy Banks"/>
    <s v="Bravo"/>
  </r>
  <r>
    <s v="Gottlieb-Cruickshank  "/>
    <s v="Rowe PLC Pharmaceutical Ltd"/>
    <s v="Kęty"/>
    <x v="0"/>
    <n v="49.882100000000001"/>
    <n v="19.223299999999998"/>
    <s v="Pharmacy"/>
    <s v="Institution"/>
    <x v="146"/>
    <x v="4"/>
    <x v="8"/>
    <x v="136"/>
    <n v="1170"/>
    <x v="0"/>
    <x v="0"/>
    <s v="Steve Pepple"/>
    <s v="Tracy Banks"/>
    <s v="Bravo"/>
  </r>
  <r>
    <s v="Gottlieb-Cruickshank  "/>
    <s v="Hill Ltd "/>
    <s v="Gliwice"/>
    <x v="0"/>
    <n v="50.297600000000003"/>
    <n v="18.676600000000001"/>
    <s v="Pharmacy"/>
    <s v="Retail"/>
    <x v="2"/>
    <x v="1"/>
    <x v="5"/>
    <x v="2"/>
    <n v="330"/>
    <x v="0"/>
    <x v="0"/>
    <s v="Jessica Smith"/>
    <s v="Britanny Bold"/>
    <s v="Delta"/>
  </r>
  <r>
    <s v="Gottlieb-Cruickshank  "/>
    <s v="Kreiger Inc Pharma Plc"/>
    <s v="Mielec"/>
    <x v="0"/>
    <n v="50.283299999999997"/>
    <n v="21.433299999999999"/>
    <s v="Hospital"/>
    <s v="Private"/>
    <x v="126"/>
    <x v="3"/>
    <x v="6"/>
    <x v="7"/>
    <n v="7420"/>
    <x v="0"/>
    <x v="0"/>
    <s v="Jimmy Grey"/>
    <s v="Alisha Cordwell"/>
    <s v="Charlie"/>
  </r>
  <r>
    <s v="Gottlieb-Cruickshank  "/>
    <s v="Buckridge, Hand and Hyatt Pharma Plc"/>
    <s v="Zgorzelec"/>
    <x v="0"/>
    <n v="51.152799999999999"/>
    <n v="15"/>
    <s v="Pharmacy"/>
    <s v="Institution"/>
    <x v="147"/>
    <x v="4"/>
    <x v="4"/>
    <x v="137"/>
    <n v="14520"/>
    <x v="0"/>
    <x v="0"/>
    <s v="Sheila Stones"/>
    <s v="Britanny Bold"/>
    <s v="Delta"/>
  </r>
  <r>
    <s v="Gottlieb-Cruickshank  "/>
    <s v="McCullough LLC Pharma Plc"/>
    <s v="Częstochowa"/>
    <x v="0"/>
    <n v="50.8"/>
    <n v="19.116700000000002"/>
    <s v="Pharmacy"/>
    <s v="Retail"/>
    <x v="148"/>
    <x v="4"/>
    <x v="5"/>
    <x v="138"/>
    <n v="2450"/>
    <x v="0"/>
    <x v="0"/>
    <s v="Daniel Gates"/>
    <s v="Alisha Cordwell"/>
    <s v="Charlie"/>
  </r>
  <r>
    <s v="Gottlieb-Cruickshank  "/>
    <s v="Nitzsche, Effertz and Maggio Pharmacy"/>
    <s v="Malbork"/>
    <x v="0"/>
    <n v="54.028500000000001"/>
    <n v="19.0444"/>
    <s v="Hospital"/>
    <s v="Private"/>
    <x v="149"/>
    <x v="5"/>
    <x v="18"/>
    <x v="139"/>
    <n v="7740"/>
    <x v="0"/>
    <x v="0"/>
    <s v="Thompson Crawford"/>
    <s v="James Goodwill"/>
    <s v="Alfa"/>
  </r>
  <r>
    <s v="Gottlieb-Cruickshank  "/>
    <s v="Kreiger Inc Pharma Plc"/>
    <s v="Mielec"/>
    <x v="0"/>
    <n v="50.283299999999997"/>
    <n v="21.433299999999999"/>
    <s v="Hospital"/>
    <s v="Private"/>
    <x v="101"/>
    <x v="4"/>
    <x v="0"/>
    <x v="96"/>
    <n v="564"/>
    <x v="0"/>
    <x v="0"/>
    <s v="Anne Wu"/>
    <s v="Britanny Bold"/>
    <s v="Delta"/>
  </r>
  <r>
    <s v="Gottlieb-Cruickshank  "/>
    <s v="Crist Inc "/>
    <s v="Stary Sącz"/>
    <x v="0"/>
    <n v="49.5625"/>
    <n v="20.636399999999998"/>
    <s v="Hospital"/>
    <s v="Private"/>
    <x v="59"/>
    <x v="1"/>
    <x v="3"/>
    <x v="56"/>
    <n v="2982"/>
    <x v="0"/>
    <x v="0"/>
    <s v="Abigail Thompson"/>
    <s v="Tracy Banks"/>
    <s v="Bravo"/>
  </r>
  <r>
    <s v="Gottlieb-Cruickshank  "/>
    <s v="McClure, Zemlak and Dibbert Pharma Plc"/>
    <s v="Gdańsk"/>
    <x v="0"/>
    <n v="54.366700000000002"/>
    <n v="18.633299999999998"/>
    <s v="Pharmacy"/>
    <s v="Retail"/>
    <x v="150"/>
    <x v="3"/>
    <x v="21"/>
    <x v="140"/>
    <n v="6097"/>
    <x v="0"/>
    <x v="0"/>
    <s v="Alan Ray"/>
    <s v="James Goodwill"/>
    <s v="Alfa"/>
  </r>
  <r>
    <s v="Gottlieb-Cruickshank  "/>
    <s v="Lebsack, Yost and Heller Pharmaceutical Limited"/>
    <s v="Wieliczka"/>
    <x v="0"/>
    <n v="49.989400000000003"/>
    <n v="20.066099999999999"/>
    <s v="Pharmacy"/>
    <s v="Institution"/>
    <x v="151"/>
    <x v="5"/>
    <x v="11"/>
    <x v="141"/>
    <n v="786"/>
    <x v="0"/>
    <x v="0"/>
    <s v="Stella Given"/>
    <s v="Alisha Cordwell"/>
    <s v="Charlie"/>
  </r>
  <r>
    <s v="Gottlieb-Cruickshank  "/>
    <s v="Herman, Rice and Rippin "/>
    <s v="Ziębice"/>
    <x v="0"/>
    <n v="50.6"/>
    <n v="17.0444"/>
    <s v="Hospital"/>
    <s v="Government"/>
    <x v="152"/>
    <x v="2"/>
    <x v="2"/>
    <x v="142"/>
    <n v="1920"/>
    <x v="5"/>
    <x v="0"/>
    <s v="Daniel Gates"/>
    <s v="Alisha Cordwell"/>
    <s v="Charlie"/>
  </r>
  <r>
    <s v="Gottlieb-Cruickshank  "/>
    <s v="Streich PLC Pharmaceutical Limited"/>
    <s v="Przemyśl"/>
    <x v="0"/>
    <n v="49.784999999999997"/>
    <n v="22.767299999999999"/>
    <s v="Pharmacy"/>
    <s v="Institution"/>
    <x v="153"/>
    <x v="3"/>
    <x v="8"/>
    <x v="143"/>
    <n v="1036"/>
    <x v="0"/>
    <x v="0"/>
    <s v="Jimmy Grey"/>
    <s v="Alisha Cordwell"/>
    <s v="Charlie"/>
  </r>
  <r>
    <s v="Gottlieb-Cruickshank  "/>
    <s v="Heathcote, Grant and Witting Pharm"/>
    <s v="Bielsko-Biała"/>
    <x v="0"/>
    <n v="49.822499999999998"/>
    <n v="19.0444"/>
    <s v="Pharmacy"/>
    <s v="Institution"/>
    <x v="149"/>
    <x v="5"/>
    <x v="5"/>
    <x v="139"/>
    <n v="2580"/>
    <x v="0"/>
    <x v="0"/>
    <s v="Erica Jones"/>
    <s v="James Goodwill"/>
    <s v="Alfa"/>
  </r>
  <r>
    <s v="Gottlieb-Cruickshank  "/>
    <s v="Ondricka Ltd Pharmacy"/>
    <s v="Świnoujście"/>
    <x v="0"/>
    <n v="53.916699999999999"/>
    <n v="14.25"/>
    <s v="Hospital"/>
    <s v="Government"/>
    <x v="133"/>
    <x v="4"/>
    <x v="5"/>
    <x v="124"/>
    <n v="2190"/>
    <x v="10"/>
    <x v="0"/>
    <s v="Abigail Thompson"/>
    <s v="Tracy Banks"/>
    <s v="Bravo"/>
  </r>
  <r>
    <s v="Gottlieb-Cruickshank  "/>
    <s v="Harris, Daugherty and Okuneva Pharma Plc"/>
    <s v="Krotoszyn"/>
    <x v="0"/>
    <n v="51.697000000000003"/>
    <n v="17.435700000000001"/>
    <s v="Pharmacy"/>
    <s v="Retail"/>
    <x v="56"/>
    <x v="0"/>
    <x v="8"/>
    <x v="54"/>
    <n v="402"/>
    <x v="0"/>
    <x v="0"/>
    <s v="Daniel Gates"/>
    <s v="Alisha Cordwell"/>
    <s v="Charlie"/>
  </r>
  <r>
    <s v="Gottlieb-Cruickshank  "/>
    <s v="Spencer-Jerde Pharmacy"/>
    <s v="Przeworsk"/>
    <x v="0"/>
    <n v="50.059100000000001"/>
    <n v="22.4941"/>
    <s v="Pharmacy"/>
    <s v="Institution"/>
    <x v="56"/>
    <x v="0"/>
    <x v="8"/>
    <x v="54"/>
    <n v="402"/>
    <x v="9"/>
    <x v="0"/>
    <s v="Morris Garcia"/>
    <s v="Tracy Banks"/>
    <s v="Bravo"/>
  </r>
  <r>
    <s v="Gottlieb-Cruickshank  "/>
    <s v="Zemlak Group Pharmaceutical Limited"/>
    <s v="Koszalin"/>
    <x v="0"/>
    <n v="54.190300000000001"/>
    <n v="16.181699999999999"/>
    <s v="Hospital"/>
    <s v="Private"/>
    <x v="22"/>
    <x v="1"/>
    <x v="2"/>
    <x v="22"/>
    <n v="6450"/>
    <x v="0"/>
    <x v="0"/>
    <s v="Stella Given"/>
    <s v="Alisha Cordwell"/>
    <s v="Charlie"/>
  </r>
  <r>
    <s v="Gottlieb-Cruickshank  "/>
    <s v="Wintheiser, Breitenberg and Gottlieb Pharmaceutical Limited"/>
    <s v="Milanówek"/>
    <x v="0"/>
    <n v="52.124299999999998"/>
    <n v="20.665400000000002"/>
    <s v="Pharmacy"/>
    <s v="Retail"/>
    <x v="62"/>
    <x v="2"/>
    <x v="8"/>
    <x v="59"/>
    <n v="1248"/>
    <x v="4"/>
    <x v="0"/>
    <s v="Alan Ray"/>
    <s v="James Goodwill"/>
    <s v="Alfa"/>
  </r>
  <r>
    <s v="Gottlieb-Cruickshank  "/>
    <s v="Blick, Pacocha and Schowalter "/>
    <s v="Inowrocław"/>
    <x v="0"/>
    <n v="52.7958"/>
    <n v="18.261099999999999"/>
    <s v="Pharmacy"/>
    <s v="Retail"/>
    <x v="110"/>
    <x v="2"/>
    <x v="5"/>
    <x v="105"/>
    <n v="565"/>
    <x v="0"/>
    <x v="0"/>
    <s v="Anne Wu"/>
    <s v="Britanny Bold"/>
    <s v="Delta"/>
  </r>
  <r>
    <s v="Gottlieb-Cruickshank  "/>
    <s v="Bogan, Jacobs and Kris Pharmacy"/>
    <s v="Lubartów"/>
    <x v="0"/>
    <n v="51.466700000000003"/>
    <n v="22.6"/>
    <s v="Pharmacy"/>
    <s v="Institution"/>
    <x v="154"/>
    <x v="0"/>
    <x v="11"/>
    <x v="144"/>
    <n v="1626"/>
    <x v="0"/>
    <x v="0"/>
    <s v="Jessica Smith"/>
    <s v="Britanny Bold"/>
    <s v="Delta"/>
  </r>
  <r>
    <s v="Gottlieb-Cruickshank  "/>
    <s v="Crona Group Pharma Plc"/>
    <s v="Kwidzyn"/>
    <x v="0"/>
    <n v="53.735799999999998"/>
    <n v="18.930800000000001"/>
    <s v="Pharmacy"/>
    <s v="Institution"/>
    <x v="23"/>
    <x v="3"/>
    <x v="0"/>
    <x v="23"/>
    <n v="2756"/>
    <x v="6"/>
    <x v="0"/>
    <s v="Erica Jones"/>
    <s v="James Goodwill"/>
    <s v="Alfa"/>
  </r>
  <r>
    <s v="Gottlieb-Cruickshank  "/>
    <s v="Kertzmann, Quitzon and Harris Pharma Plc"/>
    <s v="Reszel"/>
    <x v="0"/>
    <n v="54.050400000000003"/>
    <n v="21.145800000000001"/>
    <s v="Hospital"/>
    <s v="Government"/>
    <x v="155"/>
    <x v="2"/>
    <x v="5"/>
    <x v="108"/>
    <n v="1725"/>
    <x v="0"/>
    <x v="0"/>
    <s v="Abigail Thompson"/>
    <s v="Tracy Banks"/>
    <s v="Bravo"/>
  </r>
  <r>
    <s v="Gottlieb-Cruickshank  "/>
    <s v="Purdy Ltd Pharmaceutical Limited"/>
    <s v="Głuchołazy"/>
    <x v="0"/>
    <n v="50.313099999999999"/>
    <n v="17.374199999999998"/>
    <s v="Hospital"/>
    <s v="Government"/>
    <x v="156"/>
    <x v="1"/>
    <x v="13"/>
    <x v="145"/>
    <n v="9180"/>
    <x v="0"/>
    <x v="0"/>
    <s v="Morris Garcia"/>
    <s v="Tracy Banks"/>
    <s v="Bravo"/>
  </r>
  <r>
    <s v="Gottlieb-Cruickshank  "/>
    <s v="Lebsack, Yost and Heller Pharmaceutical Limited"/>
    <s v="Wieliczka"/>
    <x v="0"/>
    <n v="49.989400000000003"/>
    <n v="20.066099999999999"/>
    <s v="Pharmacy"/>
    <s v="Institution"/>
    <x v="157"/>
    <x v="5"/>
    <x v="8"/>
    <x v="146"/>
    <n v="1420"/>
    <x v="0"/>
    <x v="0"/>
    <s v="Anne Wu"/>
    <s v="Britanny Bold"/>
    <s v="Delta"/>
  </r>
  <r>
    <s v="Gottlieb-Cruickshank  "/>
    <s v="Cassin PLC Pharmacy"/>
    <s v="Miastko"/>
    <x v="0"/>
    <n v="54"/>
    <n v="16.9833"/>
    <s v="Hospital"/>
    <s v="Private"/>
    <x v="26"/>
    <x v="5"/>
    <x v="0"/>
    <x v="26"/>
    <n v="2044"/>
    <x v="0"/>
    <x v="0"/>
    <s v="Jessica Smith"/>
    <s v="Britanny Bold"/>
    <s v="Delta"/>
  </r>
  <r>
    <s v="Gottlieb-Cruickshank  "/>
    <s v="Rosenbaum, Klein and Herzog "/>
    <s v="Zbąszyń"/>
    <x v="0"/>
    <n v="52.253100000000003"/>
    <n v="15.9178"/>
    <s v="Hospital"/>
    <s v="Private"/>
    <x v="158"/>
    <x v="5"/>
    <x v="11"/>
    <x v="147"/>
    <n v="222"/>
    <x v="0"/>
    <x v="0"/>
    <s v="Mary Gerrard"/>
    <s v="Britanny Bold"/>
    <s v="Delta"/>
  </r>
  <r>
    <s v="Gottlieb-Cruickshank  "/>
    <s v="Balistreri-Watsica Pharmacy"/>
    <s v="Ełk"/>
    <x v="0"/>
    <n v="53.816699999999997"/>
    <n v="22.35"/>
    <s v="Pharmacy"/>
    <s v="Retail"/>
    <x v="117"/>
    <x v="2"/>
    <x v="0"/>
    <x v="112"/>
    <n v="1780"/>
    <x v="1"/>
    <x v="0"/>
    <s v="Stella Given"/>
    <s v="Alisha Cordwell"/>
    <s v="Charlie"/>
  </r>
  <r>
    <s v="Gottlieb-Cruickshank  "/>
    <s v="Spencer-Jerde Pharmacy"/>
    <s v="Przeworsk"/>
    <x v="0"/>
    <n v="50.059100000000001"/>
    <n v="22.4941"/>
    <s v="Pharmacy"/>
    <s v="Institution"/>
    <x v="159"/>
    <x v="5"/>
    <x v="8"/>
    <x v="148"/>
    <n v="1410"/>
    <x v="7"/>
    <x v="0"/>
    <s v="Erica Jones"/>
    <s v="James Goodwill"/>
    <s v="Alfa"/>
  </r>
  <r>
    <s v="Gottlieb-Cruickshank  "/>
    <s v="Nitzsche, Effertz and Maggio Pharmacy"/>
    <s v="Malbork"/>
    <x v="0"/>
    <n v="54.028500000000001"/>
    <n v="19.0444"/>
    <s v="Hospital"/>
    <s v="Private"/>
    <x v="160"/>
    <x v="1"/>
    <x v="8"/>
    <x v="149"/>
    <n v="900"/>
    <x v="0"/>
    <x v="0"/>
    <s v="Stella Given"/>
    <s v="Alisha Cordwell"/>
    <s v="Charlie"/>
  </r>
  <r>
    <s v="Gottlieb-Cruickshank  "/>
    <s v="Koch, Borer and Hagenes "/>
    <s v="Kościan"/>
    <x v="0"/>
    <n v="52.083300000000001"/>
    <n v="16.649999999999999"/>
    <s v="Hospital"/>
    <s v="Private"/>
    <x v="161"/>
    <x v="0"/>
    <x v="0"/>
    <x v="150"/>
    <n v="460"/>
    <x v="0"/>
    <x v="0"/>
    <s v="Alan Ray"/>
    <s v="James Goodwill"/>
    <s v="Alfa"/>
  </r>
  <r>
    <s v="Gottlieb-Cruickshank  "/>
    <s v="Lesch PLC Pharmaceutical Ltd"/>
    <s v="Głuszyca"/>
    <x v="0"/>
    <n v="50.687399999999997"/>
    <n v="16.371700000000001"/>
    <s v="Pharmacy"/>
    <s v="Retail"/>
    <x v="162"/>
    <x v="3"/>
    <x v="11"/>
    <x v="112"/>
    <n v="1335"/>
    <x v="0"/>
    <x v="0"/>
    <s v="Abigail Thompson"/>
    <s v="Tracy Banks"/>
    <s v="Bravo"/>
  </r>
  <r>
    <s v="Gottlieb-Cruickshank  "/>
    <s v="Welch-Orn "/>
    <s v="Chełmno"/>
    <x v="0"/>
    <n v="53.349200000000003"/>
    <n v="18.426100000000002"/>
    <s v="Hospital"/>
    <s v="Private"/>
    <x v="47"/>
    <x v="0"/>
    <x v="2"/>
    <x v="46"/>
    <n v="2970"/>
    <x v="0"/>
    <x v="0"/>
    <s v="Abigail Thompson"/>
    <s v="Tracy Banks"/>
    <s v="Bravo"/>
  </r>
  <r>
    <s v="Gottlieb-Cruickshank  "/>
    <s v="Rutherford and Sons "/>
    <s v="Gdynia"/>
    <x v="0"/>
    <n v="54.518900000000002"/>
    <n v="18.5319"/>
    <s v="Pharmacy"/>
    <s v="Retail"/>
    <x v="8"/>
    <x v="0"/>
    <x v="3"/>
    <x v="8"/>
    <n v="3306"/>
    <x v="0"/>
    <x v="0"/>
    <s v="Jimmy Grey"/>
    <s v="Alisha Cordwell"/>
    <s v="Charlie"/>
  </r>
  <r>
    <s v="Gottlieb-Cruickshank  "/>
    <s v="Gottlieb-Cruickshank Pharma Plc"/>
    <s v="Brzeszcze"/>
    <x v="0"/>
    <n v="50"/>
    <n v="19.149999999999999"/>
    <s v="Hospital"/>
    <s v="Private"/>
    <x v="11"/>
    <x v="3"/>
    <x v="5"/>
    <x v="11"/>
    <n v="1245"/>
    <x v="0"/>
    <x v="0"/>
    <s v="Jimmy Grey"/>
    <s v="Alisha Cordwell"/>
    <s v="Charlie"/>
  </r>
  <r>
    <s v="Gottlieb-Cruickshank  "/>
    <s v="Medhurst-Beer Pharmaceutical Limited"/>
    <s v="Rybnik"/>
    <x v="0"/>
    <n v="50.083300000000001"/>
    <n v="18.5"/>
    <s v="Pharmacy"/>
    <s v="Institution"/>
    <x v="17"/>
    <x v="3"/>
    <x v="5"/>
    <x v="17"/>
    <n v="1440"/>
    <x v="0"/>
    <x v="0"/>
    <s v="Erica Jones"/>
    <s v="James Goodwill"/>
    <s v="Alfa"/>
  </r>
  <r>
    <s v="Gottlieb-Cruickshank  "/>
    <s v="Bosco-Marquardt Pharm"/>
    <s v="Lębork"/>
    <x v="0"/>
    <n v="54.55"/>
    <n v="17.75"/>
    <s v="Hospital"/>
    <s v="Private"/>
    <x v="104"/>
    <x v="0"/>
    <x v="15"/>
    <x v="99"/>
    <n v="334"/>
    <x v="0"/>
    <x v="0"/>
    <s v="Morris Garcia"/>
    <s v="Tracy Banks"/>
    <s v="Bravo"/>
  </r>
  <r>
    <s v="Gottlieb-Cruickshank  "/>
    <s v="Hermiston and Sons Pharma Plc"/>
    <s v="Bochnia"/>
    <x v="0"/>
    <n v="49.9833"/>
    <n v="20.433299999999999"/>
    <s v="Pharmacy"/>
    <s v="Institution"/>
    <x v="163"/>
    <x v="3"/>
    <x v="8"/>
    <x v="151"/>
    <n v="94"/>
    <x v="0"/>
    <x v="0"/>
    <s v="Sheila Stones"/>
    <s v="Britanny Bold"/>
    <s v="Delta"/>
  </r>
  <r>
    <s v="Gottlieb-Cruickshank  "/>
    <s v="Wunsch, Mills and Walter "/>
    <s v="Kielce"/>
    <x v="0"/>
    <n v="50.872500000000002"/>
    <n v="20.631900000000002"/>
    <s v="Pharmacy"/>
    <s v="Institution"/>
    <x v="10"/>
    <x v="0"/>
    <x v="5"/>
    <x v="10"/>
    <n v="3810"/>
    <x v="0"/>
    <x v="0"/>
    <s v="Anne Wu"/>
    <s v="Britanny Bold"/>
    <s v="Delta"/>
  </r>
  <r>
    <s v="Gottlieb-Cruickshank  "/>
    <s v="Mante-Grady Pharm"/>
    <s v="Lubaczów"/>
    <x v="0"/>
    <n v="50.1556"/>
    <n v="23.123000000000001"/>
    <s v="Pharmacy"/>
    <s v="Institution"/>
    <x v="59"/>
    <x v="1"/>
    <x v="3"/>
    <x v="56"/>
    <n v="2982"/>
    <x v="0"/>
    <x v="0"/>
    <s v="Stella Given"/>
    <s v="Alisha Cordwell"/>
    <s v="Charlie"/>
  </r>
  <r>
    <s v="Gottlieb-Cruickshank  "/>
    <s v="Greenholt, Donnelly and O'Reilly Pharmaceutical Limited"/>
    <s v="Rumia"/>
    <x v="0"/>
    <n v="54.566699999999997"/>
    <n v="18.399999999999999"/>
    <s v="Pharmacy"/>
    <s v="Retail"/>
    <x v="82"/>
    <x v="3"/>
    <x v="3"/>
    <x v="79"/>
    <n v="3930"/>
    <x v="0"/>
    <x v="0"/>
    <s v="Abigail Thompson"/>
    <s v="Tracy Banks"/>
    <s v="Bravo"/>
  </r>
  <r>
    <s v="Gottlieb-Cruickshank  "/>
    <s v="Hahn, Rutherford and Gislason Pharmaceutical Limited"/>
    <s v="Łaziska Górne"/>
    <x v="0"/>
    <n v="50.15"/>
    <n v="18.833300000000001"/>
    <s v="Hospital"/>
    <s v="Private"/>
    <x v="124"/>
    <x v="5"/>
    <x v="5"/>
    <x v="118"/>
    <n v="2100"/>
    <x v="0"/>
    <x v="0"/>
    <s v="Jessica Smith"/>
    <s v="Britanny Bold"/>
    <s v="Delta"/>
  </r>
  <r>
    <s v="Gottlieb-Cruickshank  "/>
    <s v="Kozey Ltd Pharmaceutical Ltd"/>
    <s v="Bielsk Podlaski"/>
    <x v="0"/>
    <n v="52.7667"/>
    <n v="23.2"/>
    <s v="Hospital"/>
    <s v="Government"/>
    <x v="30"/>
    <x v="5"/>
    <x v="11"/>
    <x v="30"/>
    <n v="492"/>
    <x v="0"/>
    <x v="0"/>
    <s v="Morris Garcia"/>
    <s v="Tracy Banks"/>
    <s v="Bravo"/>
  </r>
  <r>
    <s v="Gottlieb-Cruickshank  "/>
    <s v="McClure, Zemlak and Dibbert Pharma Plc"/>
    <s v="Gdańsk"/>
    <x v="0"/>
    <n v="54.366700000000002"/>
    <n v="18.633299999999998"/>
    <s v="Pharmacy"/>
    <s v="Retail"/>
    <x v="100"/>
    <x v="3"/>
    <x v="5"/>
    <x v="95"/>
    <n v="2675"/>
    <x v="0"/>
    <x v="0"/>
    <s v="Stella Given"/>
    <s v="Alisha Cordwell"/>
    <s v="Charlie"/>
  </r>
  <r>
    <s v="Gottlieb-Cruickshank  "/>
    <s v="Sanford, Franecki and Greenholt "/>
    <s v="Nowa Sól"/>
    <x v="0"/>
    <n v="51.8"/>
    <n v="15.716699999999999"/>
    <s v="Pharmacy"/>
    <s v="Institution"/>
    <x v="164"/>
    <x v="5"/>
    <x v="15"/>
    <x v="152"/>
    <n v="104"/>
    <x v="0"/>
    <x v="0"/>
    <s v="Stella Given"/>
    <s v="Alisha Cordwell"/>
    <s v="Charlie"/>
  </r>
  <r>
    <s v="Gottlieb-Cruickshank  "/>
    <s v="Kilback, Beer and Batz Pharma Plc"/>
    <s v="Kutno"/>
    <x v="0"/>
    <n v="52.2333"/>
    <n v="19.366700000000002"/>
    <s v="Pharmacy"/>
    <s v="Retail"/>
    <x v="128"/>
    <x v="5"/>
    <x v="11"/>
    <x v="121"/>
    <n v="1131"/>
    <x v="0"/>
    <x v="0"/>
    <s v="Steve Pepple"/>
    <s v="Tracy Banks"/>
    <s v="Bravo"/>
  </r>
  <r>
    <s v="Gottlieb-Cruickshank  "/>
    <s v="Gerhold, Mills and Effertz Pharm"/>
    <s v="Głubczyce"/>
    <x v="0"/>
    <n v="50.200899999999997"/>
    <n v="17.828600000000002"/>
    <s v="Pharmacy"/>
    <s v="Institution"/>
    <x v="165"/>
    <x v="5"/>
    <x v="15"/>
    <x v="153"/>
    <n v="402"/>
    <x v="0"/>
    <x v="0"/>
    <s v="Steve Pepple"/>
    <s v="Tracy Banks"/>
    <s v="Bravo"/>
  </r>
  <r>
    <s v="Gottlieb-Cruickshank  "/>
    <s v="Heller-Abernathy "/>
    <s v="Brzeg Dolny"/>
    <x v="0"/>
    <n v="51.273000000000003"/>
    <n v="16.708100000000002"/>
    <s v="Hospital"/>
    <s v="Private"/>
    <x v="2"/>
    <x v="1"/>
    <x v="8"/>
    <x v="2"/>
    <n v="132"/>
    <x v="0"/>
    <x v="0"/>
    <s v="Jessica Smith"/>
    <s v="Britanny Bold"/>
    <s v="Delta"/>
  </r>
  <r>
    <s v="Gottlieb-Cruickshank  "/>
    <s v="Osinski-Collins Pharmaceutical Ltd"/>
    <s v="Elbląg"/>
    <x v="0"/>
    <n v="54.166699999999999"/>
    <n v="19.399999999999999"/>
    <s v="Pharmacy"/>
    <s v="Institution"/>
    <x v="78"/>
    <x v="3"/>
    <x v="3"/>
    <x v="75"/>
    <n v="3882"/>
    <x v="0"/>
    <x v="0"/>
    <s v="Alan Ray"/>
    <s v="James Goodwill"/>
    <s v="Alfa"/>
  </r>
  <r>
    <s v="Gottlieb-Cruickshank  "/>
    <s v="Mraz Group Pharmacy"/>
    <s v="Piastów"/>
    <x v="0"/>
    <n v="52.183300000000003"/>
    <n v="20.85"/>
    <s v="Hospital"/>
    <s v="Private"/>
    <x v="166"/>
    <x v="4"/>
    <x v="8"/>
    <x v="14"/>
    <n v="974"/>
    <x v="0"/>
    <x v="0"/>
    <s v="Anne Wu"/>
    <s v="Britanny Bold"/>
    <s v="Delta"/>
  </r>
  <r>
    <s v="Gottlieb-Cruickshank  "/>
    <s v="Wintheiser, Breitenberg and Gottlieb Pharmaceutical Limited"/>
    <s v="Milanówek"/>
    <x v="0"/>
    <n v="52.124299999999998"/>
    <n v="20.665400000000002"/>
    <s v="Pharmacy"/>
    <s v="Retail"/>
    <x v="167"/>
    <x v="2"/>
    <x v="8"/>
    <x v="154"/>
    <n v="646"/>
    <x v="0"/>
    <x v="0"/>
    <s v="Erica Jones"/>
    <s v="James Goodwill"/>
    <s v="Alfa"/>
  </r>
  <r>
    <s v="Gottlieb-Cruickshank  "/>
    <s v="Welch-Langworth "/>
    <s v="Warsaw"/>
    <x v="0"/>
    <n v="52.216700000000003"/>
    <n v="21.033300000000001"/>
    <s v="Pharmacy"/>
    <s v="Retail"/>
    <x v="7"/>
    <x v="0"/>
    <x v="8"/>
    <x v="7"/>
    <n v="1484"/>
    <x v="0"/>
    <x v="0"/>
    <s v="Daniel Gates"/>
    <s v="Alisha Cordwell"/>
    <s v="Charlie"/>
  </r>
  <r>
    <s v="Gottlieb-Cruickshank  "/>
    <s v="Rutherford and Sons "/>
    <s v="Gdynia"/>
    <x v="0"/>
    <n v="54.518900000000002"/>
    <n v="18.5319"/>
    <s v="Pharmacy"/>
    <s v="Retail"/>
    <x v="124"/>
    <x v="5"/>
    <x v="2"/>
    <x v="118"/>
    <n v="12600"/>
    <x v="0"/>
    <x v="0"/>
    <s v="Mary Gerrard"/>
    <s v="Britanny Bold"/>
    <s v="Delta"/>
  </r>
  <r>
    <s v="Gottlieb-Cruickshank  "/>
    <s v="Hansen Group Pharm"/>
    <s v="Gryfów Śląski"/>
    <x v="0"/>
    <n v="51.030799999999999"/>
    <n v="15.420199999999999"/>
    <s v="Hospital"/>
    <s v="Private"/>
    <x v="141"/>
    <x v="2"/>
    <x v="8"/>
    <x v="131"/>
    <n v="1156"/>
    <x v="0"/>
    <x v="0"/>
    <s v="Jimmy Grey"/>
    <s v="Alisha Cordwell"/>
    <s v="Charlie"/>
  </r>
  <r>
    <s v="Gottlieb-Cruickshank  "/>
    <s v="Gerhold, Mills and Effertz Pharm"/>
    <s v="Głubczyce"/>
    <x v="0"/>
    <n v="50.200899999999997"/>
    <n v="17.828600000000002"/>
    <s v="Pharmacy"/>
    <s v="Institution"/>
    <x v="168"/>
    <x v="0"/>
    <x v="8"/>
    <x v="37"/>
    <n v="1364"/>
    <x v="0"/>
    <x v="0"/>
    <s v="Jimmy Grey"/>
    <s v="Alisha Cordwell"/>
    <s v="Charlie"/>
  </r>
  <r>
    <s v="Gottlieb-Cruickshank  "/>
    <s v="Lesch PLC Pharmaceutical Ltd"/>
    <s v="Głuszyca"/>
    <x v="0"/>
    <n v="50.687399999999997"/>
    <n v="16.371700000000001"/>
    <s v="Pharmacy"/>
    <s v="Retail"/>
    <x v="113"/>
    <x v="3"/>
    <x v="8"/>
    <x v="108"/>
    <n v="690"/>
    <x v="0"/>
    <x v="0"/>
    <s v="Daniel Gates"/>
    <s v="Alisha Cordwell"/>
    <s v="Charlie"/>
  </r>
  <r>
    <s v="Gottlieb-Cruickshank  "/>
    <s v="Brakus, Rempel and Harber Pharma Plc"/>
    <s v="Nowy Targ"/>
    <x v="0"/>
    <n v="49.4833"/>
    <n v="20.033300000000001"/>
    <s v="Pharmacy"/>
    <s v="Institution"/>
    <x v="169"/>
    <x v="4"/>
    <x v="26"/>
    <x v="80"/>
    <n v="13260"/>
    <x v="0"/>
    <x v="0"/>
    <s v="Mary Gerrard"/>
    <s v="Britanny Bold"/>
    <s v="Delta"/>
  </r>
  <r>
    <s v="Gottlieb-Cruickshank  "/>
    <s v="Balistreri-Watsica Pharmacy"/>
    <s v="Ełk"/>
    <x v="0"/>
    <n v="53.816699999999997"/>
    <n v="22.35"/>
    <s v="Pharmacy"/>
    <s v="Retail"/>
    <x v="43"/>
    <x v="5"/>
    <x v="4"/>
    <x v="42"/>
    <n v="9640"/>
    <x v="0"/>
    <x v="0"/>
    <s v="Steve Pepple"/>
    <s v="Tracy Banks"/>
    <s v="Bravo"/>
  </r>
  <r>
    <s v="Gottlieb-Cruickshank  "/>
    <s v="Rosenbaum, Klein and Herzog "/>
    <s v="Zbąszyń"/>
    <x v="0"/>
    <n v="52.253100000000003"/>
    <n v="15.9178"/>
    <s v="Hospital"/>
    <s v="Private"/>
    <x v="138"/>
    <x v="3"/>
    <x v="8"/>
    <x v="128"/>
    <n v="1268"/>
    <x v="0"/>
    <x v="0"/>
    <s v="Anne Wu"/>
    <s v="Britanny Bold"/>
    <s v="Delta"/>
  </r>
  <r>
    <s v="Gottlieb-Cruickshank  "/>
    <s v="Okuneva-Corkery "/>
    <s v="Kostrzyn nad Odrą"/>
    <x v="0"/>
    <n v="52.588299999999997"/>
    <n v="14.666700000000001"/>
    <s v="Hospital"/>
    <s v="Government"/>
    <x v="32"/>
    <x v="2"/>
    <x v="8"/>
    <x v="32"/>
    <n v="52"/>
    <x v="0"/>
    <x v="0"/>
    <s v="Sheila Stones"/>
    <s v="Britanny Bold"/>
    <s v="Delta"/>
  </r>
  <r>
    <s v="Gottlieb-Cruickshank  "/>
    <s v="Kilback, Beer and Batz Pharma Plc"/>
    <s v="Kutno"/>
    <x v="0"/>
    <n v="52.2333"/>
    <n v="19.366700000000002"/>
    <s v="Pharmacy"/>
    <s v="Retail"/>
    <x v="97"/>
    <x v="5"/>
    <x v="3"/>
    <x v="93"/>
    <n v="1122"/>
    <x v="0"/>
    <x v="0"/>
    <s v="Mary Gerrard"/>
    <s v="Britanny Bold"/>
    <s v="Delta"/>
  </r>
  <r>
    <s v="Gottlieb-Cruickshank  "/>
    <s v="Zemlak-Witting Pharmacy"/>
    <s v="Międzyrzecz"/>
    <x v="0"/>
    <n v="52.444600000000001"/>
    <n v="15.577999999999999"/>
    <s v="Pharmacy"/>
    <s v="Institution"/>
    <x v="170"/>
    <x v="2"/>
    <x v="8"/>
    <x v="155"/>
    <n v="1110"/>
    <x v="0"/>
    <x v="0"/>
    <s v="Steve Pepple"/>
    <s v="Tracy Banks"/>
    <s v="Bravo"/>
  </r>
  <r>
    <s v="Gottlieb-Cruickshank  "/>
    <s v="Yundt, Leuschke and Ward Pharmaceutical Ltd"/>
    <s v="Żychlin"/>
    <x v="0"/>
    <n v="52.2453"/>
    <n v="19.6236"/>
    <s v="Hospital"/>
    <s v="Government"/>
    <x v="2"/>
    <x v="1"/>
    <x v="8"/>
    <x v="2"/>
    <n v="132"/>
    <x v="0"/>
    <x v="0"/>
    <s v="Mary Gerrard"/>
    <s v="Britanny Bold"/>
    <s v="Delta"/>
  </r>
  <r>
    <s v="Gottlieb-Cruickshank  "/>
    <s v="Mills Inc Pharma Plc"/>
    <s v="Bydgoszcz"/>
    <x v="0"/>
    <n v="53.116700000000002"/>
    <n v="18"/>
    <s v="Hospital"/>
    <s v="Private"/>
    <x v="171"/>
    <x v="4"/>
    <x v="15"/>
    <x v="156"/>
    <n v="618"/>
    <x v="0"/>
    <x v="0"/>
    <s v="Steve Pepple"/>
    <s v="Tracy Banks"/>
    <s v="Bravo"/>
  </r>
  <r>
    <s v="Gottlieb-Cruickshank  "/>
    <s v="Carter-Conn Pharma Plc"/>
    <s v="Brwinów"/>
    <x v="0"/>
    <n v="52.1417"/>
    <n v="20.716699999999999"/>
    <s v="Hospital"/>
    <s v="Private"/>
    <x v="73"/>
    <x v="3"/>
    <x v="15"/>
    <x v="70"/>
    <n v="318"/>
    <x v="0"/>
    <x v="0"/>
    <s v="Daniel Gates"/>
    <s v="Alisha Cordwell"/>
    <s v="Charlie"/>
  </r>
  <r>
    <s v="Gottlieb-Cruickshank  "/>
    <s v="Moen, Murazik and Smith "/>
    <s v="Siedlce"/>
    <x v="0"/>
    <n v="52.183300000000003"/>
    <n v="22.283300000000001"/>
    <s v="Pharmacy"/>
    <s v="Retail"/>
    <x v="170"/>
    <x v="2"/>
    <x v="15"/>
    <x v="155"/>
    <n v="555"/>
    <x v="0"/>
    <x v="0"/>
    <s v="Sheila Stones"/>
    <s v="Britanny Bold"/>
    <s v="Delta"/>
  </r>
  <r>
    <s v="Gottlieb-Cruickshank  "/>
    <s v="Bogan, Jacobs and Kris Pharmacy"/>
    <s v="Lubartów"/>
    <x v="0"/>
    <n v="51.466700000000003"/>
    <n v="22.6"/>
    <s v="Pharmacy"/>
    <s v="Institution"/>
    <x v="172"/>
    <x v="5"/>
    <x v="15"/>
    <x v="157"/>
    <n v="478"/>
    <x v="0"/>
    <x v="0"/>
    <s v="Mary Gerrard"/>
    <s v="Britanny Bold"/>
    <s v="Delta"/>
  </r>
  <r>
    <s v="Gottlieb-Cruickshank  "/>
    <s v="Wintheiser, Breitenberg and Gottlieb Pharmaceutical Limited"/>
    <s v="Milanówek"/>
    <x v="0"/>
    <n v="52.124299999999998"/>
    <n v="20.665400000000002"/>
    <s v="Pharmacy"/>
    <s v="Retail"/>
    <x v="173"/>
    <x v="1"/>
    <x v="4"/>
    <x v="158"/>
    <n v="8600"/>
    <x v="0"/>
    <x v="0"/>
    <s v="Daniel Gates"/>
    <s v="Alisha Cordwell"/>
    <s v="Charlie"/>
  </r>
  <r>
    <s v="Gerlach LLC "/>
    <s v="Collins-Schmidt Pharma Plc"/>
    <s v="Marburg"/>
    <x v="1"/>
    <n v="50.816699999999997"/>
    <n v="8.7667000000000002"/>
    <s v="Pharmacy"/>
    <s v="Retail"/>
    <x v="32"/>
    <x v="2"/>
    <x v="11"/>
    <x v="32"/>
    <n v="78"/>
    <x v="9"/>
    <x v="1"/>
    <s v="Mary Gerrard"/>
    <s v="Britanny Bold"/>
    <s v="Delta"/>
  </r>
  <r>
    <s v="Gerlach LLC "/>
    <s v="Bosco-Marquardt Pharmaceutical Limited"/>
    <s v="Brandenburg"/>
    <x v="1"/>
    <n v="52.411700000000003"/>
    <n v="12.556100000000001"/>
    <s v="Hospital"/>
    <s v="Government"/>
    <x v="60"/>
    <x v="3"/>
    <x v="4"/>
    <x v="57"/>
    <n v="5380"/>
    <x v="9"/>
    <x v="1"/>
    <s v="Daniel Gates"/>
    <s v="Alisha Cordwell"/>
    <s v="Charlie"/>
  </r>
  <r>
    <s v="Gerlach LLC "/>
    <s v="Hahn, Rutherford and Gislason Pharm"/>
    <s v="Kulmbach"/>
    <x v="1"/>
    <n v="50.1"/>
    <n v="11.433299999999999"/>
    <s v="Pharmacy"/>
    <s v="Retail"/>
    <x v="139"/>
    <x v="5"/>
    <x v="6"/>
    <x v="129"/>
    <n v="4740"/>
    <x v="9"/>
    <x v="1"/>
    <s v="Anne Wu"/>
    <s v="Britanny Bold"/>
    <s v="Delta"/>
  </r>
  <r>
    <s v="Gerlach LLC "/>
    <s v="Gerhold, Mills and Effertz "/>
    <s v="Ansbach"/>
    <x v="1"/>
    <n v="49.3"/>
    <n v="10.583299999999999"/>
    <s v="Hospital"/>
    <s v="Government"/>
    <x v="41"/>
    <x v="2"/>
    <x v="6"/>
    <x v="40"/>
    <n v="600"/>
    <x v="9"/>
    <x v="1"/>
    <s v="Steve Pepple"/>
    <s v="Tracy Banks"/>
    <s v="Bravo"/>
  </r>
  <r>
    <s v="Gerlach LLC "/>
    <s v="Prohaska-Kuhic Pharma Plc"/>
    <s v="Pirmasens"/>
    <x v="1"/>
    <n v="49.2"/>
    <n v="7.6"/>
    <s v="Hospital"/>
    <s v="Government"/>
    <x v="147"/>
    <x v="4"/>
    <x v="5"/>
    <x v="137"/>
    <n v="3630"/>
    <x v="9"/>
    <x v="1"/>
    <s v="Daniel Gates"/>
    <s v="Alisha Cordwell"/>
    <s v="Charlie"/>
  </r>
  <r>
    <s v="Gerlach LLC "/>
    <s v="Turner Ltd "/>
    <s v="Porta Westfalica"/>
    <x v="1"/>
    <n v="52.216700000000003"/>
    <n v="8.9332999999999991"/>
    <s v="Hospital"/>
    <s v="Private"/>
    <x v="33"/>
    <x v="0"/>
    <x v="6"/>
    <x v="33"/>
    <n v="4520"/>
    <x v="9"/>
    <x v="1"/>
    <s v="Morris Garcia"/>
    <s v="Tracy Banks"/>
    <s v="Bravo"/>
  </r>
  <r>
    <s v="Gerlach LLC "/>
    <s v="Upton, Abernathy and Goodwin Pharmaceutical Limited"/>
    <s v="Detmold"/>
    <x v="1"/>
    <n v="51.937800000000003"/>
    <n v="8.8833000000000002"/>
    <s v="Hospital"/>
    <s v="Government"/>
    <x v="67"/>
    <x v="5"/>
    <x v="6"/>
    <x v="64"/>
    <n v="7130"/>
    <x v="9"/>
    <x v="1"/>
    <s v="Mary Gerrard"/>
    <s v="Britanny Bold"/>
    <s v="Delta"/>
  </r>
  <r>
    <s v="Gerlach LLC "/>
    <s v="Fahey-Flatley Pharmaceutical Ltd"/>
    <s v="Uelzen"/>
    <x v="1"/>
    <n v="52.964700000000001"/>
    <n v="10.565799999999999"/>
    <s v="Hospital"/>
    <s v="Government"/>
    <x v="54"/>
    <x v="5"/>
    <x v="4"/>
    <x v="53"/>
    <n v="4120"/>
    <x v="9"/>
    <x v="1"/>
    <s v="Jimmy Grey"/>
    <s v="Alisha Cordwell"/>
    <s v="Charlie"/>
  </r>
  <r>
    <s v="Gerlach LLC "/>
    <s v="White Inc Pharm"/>
    <s v="Ehingen an der Donau"/>
    <x v="1"/>
    <n v="48.283299999999997"/>
    <n v="9.7235999999999994"/>
    <s v="Pharmacy"/>
    <s v="Retail"/>
    <x v="174"/>
    <x v="0"/>
    <x v="4"/>
    <x v="142"/>
    <n v="1280"/>
    <x v="9"/>
    <x v="1"/>
    <s v="Steve Pepple"/>
    <s v="Tracy Banks"/>
    <s v="Bravo"/>
  </r>
  <r>
    <s v="Gerlach LLC "/>
    <s v="Pfannerstill Group "/>
    <s v="Calw"/>
    <x v="1"/>
    <n v="48.714399999999998"/>
    <n v="8.7375000000000007"/>
    <s v="Hospital"/>
    <s v="Private"/>
    <x v="9"/>
    <x v="2"/>
    <x v="5"/>
    <x v="9"/>
    <n v="1215"/>
    <x v="9"/>
    <x v="1"/>
    <s v="Steve Pepple"/>
    <s v="Tracy Banks"/>
    <s v="Bravo"/>
  </r>
  <r>
    <s v="Gerlach LLC "/>
    <s v="Kuhic LLC Pharmaceutical Limited"/>
    <s v="Gronau"/>
    <x v="1"/>
    <n v="52.212499999999999"/>
    <n v="7.0416999999999996"/>
    <s v="Pharmacy"/>
    <s v="Institution"/>
    <x v="12"/>
    <x v="0"/>
    <x v="6"/>
    <x v="12"/>
    <n v="7850"/>
    <x v="9"/>
    <x v="1"/>
    <s v="Erica Jones"/>
    <s v="James Goodwill"/>
    <s v="Alfa"/>
  </r>
  <r>
    <s v="Gerlach LLC "/>
    <s v="Welch-Langworth Pharm"/>
    <s v="Papenburg"/>
    <x v="1"/>
    <n v="53.066699999999997"/>
    <n v="7.4"/>
    <s v="Hospital"/>
    <s v="Private"/>
    <x v="13"/>
    <x v="4"/>
    <x v="2"/>
    <x v="13"/>
    <n v="8580"/>
    <x v="9"/>
    <x v="1"/>
    <s v="Abigail Thompson"/>
    <s v="Tracy Banks"/>
    <s v="Bravo"/>
  </r>
  <r>
    <s v="Gerlach LLC "/>
    <s v="Botsford and Sons "/>
    <s v="Marl"/>
    <x v="1"/>
    <n v="51.666699999999999"/>
    <n v="7.1166999999999998"/>
    <s v="Hospital"/>
    <s v="Private"/>
    <x v="47"/>
    <x v="0"/>
    <x v="12"/>
    <x v="46"/>
    <n v="4950"/>
    <x v="9"/>
    <x v="1"/>
    <s v="Jessica Smith"/>
    <s v="Britanny Bold"/>
    <s v="Delta"/>
  </r>
  <r>
    <s v="Gerlach LLC "/>
    <s v="Lesch PLC Pharma Plc"/>
    <s v="Königs Wusterhausen"/>
    <x v="1"/>
    <n v="52.291699999999999"/>
    <n v="13.625"/>
    <s v="Pharmacy"/>
    <s v="Retail"/>
    <x v="144"/>
    <x v="1"/>
    <x v="6"/>
    <x v="134"/>
    <n v="6880"/>
    <x v="9"/>
    <x v="1"/>
    <s v="Morris Garcia"/>
    <s v="Tracy Banks"/>
    <s v="Bravo"/>
  </r>
  <r>
    <s v="Gerlach LLC "/>
    <s v="Balistreri Group Pharmacy"/>
    <s v="Bad Honnef am Rhein"/>
    <x v="1"/>
    <n v="50.645000000000003"/>
    <n v="7.2268999999999997"/>
    <s v="Pharmacy"/>
    <s v="Institution"/>
    <x v="175"/>
    <x v="0"/>
    <x v="27"/>
    <x v="93"/>
    <n v="-1870"/>
    <x v="9"/>
    <x v="1"/>
    <s v="Abigail Thompson"/>
    <s v="Tracy Banks"/>
    <s v="Bravo"/>
  </r>
  <r>
    <s v="Gerlach LLC "/>
    <s v="Reynolds, Jast and Mante "/>
    <s v="Achern"/>
    <x v="1"/>
    <n v="48.631399999999999"/>
    <n v="8.0739000000000001"/>
    <s v="Pharmacy"/>
    <s v="Retail"/>
    <x v="176"/>
    <x v="0"/>
    <x v="28"/>
    <x v="119"/>
    <n v="90000"/>
    <x v="9"/>
    <x v="1"/>
    <s v="Erica Jones"/>
    <s v="James Goodwill"/>
    <s v="Alfa"/>
  </r>
  <r>
    <s v="Erdman  "/>
    <s v="Rodriguez, Stokes and Dickens "/>
    <s v="Ostfildern"/>
    <x v="1"/>
    <n v="48.722799999999999"/>
    <n v="9.2630999999999997"/>
    <s v="Hospital"/>
    <s v="Government"/>
    <x v="16"/>
    <x v="4"/>
    <x v="4"/>
    <x v="16"/>
    <n v="10960"/>
    <x v="4"/>
    <x v="1"/>
    <s v="Alan Ray"/>
    <s v="James Goodwill"/>
    <s v="Alfa"/>
  </r>
  <r>
    <s v="Erdman  "/>
    <s v="Purdy Ltd "/>
    <s v="Erkelenz"/>
    <x v="1"/>
    <n v="51.08"/>
    <n v="6.3155999999999999"/>
    <s v="Pharmacy"/>
    <s v="Retail"/>
    <x v="176"/>
    <x v="0"/>
    <x v="4"/>
    <x v="119"/>
    <n v="3600"/>
    <x v="9"/>
    <x v="1"/>
    <s v="Alan Ray"/>
    <s v="James Goodwill"/>
    <s v="Alfa"/>
  </r>
  <r>
    <s v="Erdman  "/>
    <s v="D'Amore and Sons Pharmacy"/>
    <s v="Lohne"/>
    <x v="1"/>
    <n v="52.666699999999999"/>
    <n v="8.2385999999999999"/>
    <s v="Hospital"/>
    <s v="Government"/>
    <x v="100"/>
    <x v="3"/>
    <x v="6"/>
    <x v="95"/>
    <n v="5350"/>
    <x v="9"/>
    <x v="1"/>
    <s v="Jimmy Grey"/>
    <s v="Alisha Cordwell"/>
    <s v="Charlie"/>
  </r>
  <r>
    <s v="Erdman  "/>
    <s v="Will, McGlynn and Fritsch Pharmaceutical Limited"/>
    <s v="Alzey"/>
    <x v="1"/>
    <n v="49.7517"/>
    <n v="8.1160999999999994"/>
    <s v="Hospital"/>
    <s v="Government"/>
    <x v="72"/>
    <x v="2"/>
    <x v="4"/>
    <x v="69"/>
    <n v="5960"/>
    <x v="4"/>
    <x v="1"/>
    <s v="Anne Wu"/>
    <s v="Britanny Bold"/>
    <s v="Delta"/>
  </r>
  <r>
    <s v="Erdman  "/>
    <s v="Schuppe Inc "/>
    <s v="Bensheim"/>
    <x v="1"/>
    <n v="49.681100000000001"/>
    <n v="8.6227999999999998"/>
    <s v="Pharmacy"/>
    <s v="Retail"/>
    <x v="29"/>
    <x v="3"/>
    <x v="4"/>
    <x v="29"/>
    <n v="13840"/>
    <x v="9"/>
    <x v="1"/>
    <s v="Erica Jones"/>
    <s v="James Goodwill"/>
    <s v="Alfa"/>
  </r>
  <r>
    <s v="Gerlach LLC "/>
    <s v="Romaguera, Moen and Hagenes Pharm"/>
    <s v="Unterschleißheim"/>
    <x v="1"/>
    <n v="48.283299999999997"/>
    <n v="11.566700000000001"/>
    <s v="Pharmacy"/>
    <s v="Retail"/>
    <x v="92"/>
    <x v="1"/>
    <x v="5"/>
    <x v="88"/>
    <n v="3865"/>
    <x v="8"/>
    <x v="1"/>
    <s v="Mary Gerrard"/>
    <s v="Britanny Bold"/>
    <s v="Delta"/>
  </r>
  <r>
    <s v="Gerlach LLC "/>
    <s v="Medhurst-Beer Pharm"/>
    <s v="Viernheim"/>
    <x v="1"/>
    <n v="49.537999999999997"/>
    <n v="8.5792000000000002"/>
    <s v="Pharmacy"/>
    <s v="Institution"/>
    <x v="177"/>
    <x v="3"/>
    <x v="8"/>
    <x v="159"/>
    <n v="44"/>
    <x v="8"/>
    <x v="1"/>
    <s v="Daniel Gates"/>
    <s v="Alisha Cordwell"/>
    <s v="Charlie"/>
  </r>
  <r>
    <s v="Gerlach LLC "/>
    <s v="Barton Ltd Pharmaceutical Limited"/>
    <s v="Celle"/>
    <x v="1"/>
    <n v="52.625599999999999"/>
    <n v="10.0825"/>
    <s v="Pharmacy"/>
    <s v="Retail"/>
    <x v="150"/>
    <x v="3"/>
    <x v="28"/>
    <x v="140"/>
    <n v="234500"/>
    <x v="8"/>
    <x v="1"/>
    <s v="Steve Pepple"/>
    <s v="Tracy Banks"/>
    <s v="Bravo"/>
  </r>
  <r>
    <s v="Gerlach LLC "/>
    <s v="Runte-Marquardt Pharm"/>
    <s v="Wittenberg"/>
    <x v="1"/>
    <n v="51.867100000000001"/>
    <n v="12.648400000000001"/>
    <s v="Hospital"/>
    <s v="Private"/>
    <x v="110"/>
    <x v="2"/>
    <x v="5"/>
    <x v="105"/>
    <n v="565"/>
    <x v="0"/>
    <x v="1"/>
    <s v="Morris Garcia"/>
    <s v="Tracy Banks"/>
    <s v="Bravo"/>
  </r>
  <r>
    <s v="Gerlach LLC "/>
    <s v="Parisian, Hagenes and Skiles Pharm"/>
    <s v="Greiz"/>
    <x v="1"/>
    <n v="50.654699999999998"/>
    <n v="12.1997"/>
    <s v="Hospital"/>
    <s v="Government"/>
    <x v="22"/>
    <x v="1"/>
    <x v="0"/>
    <x v="22"/>
    <n v="860"/>
    <x v="8"/>
    <x v="1"/>
    <s v="Abigail Thompson"/>
    <s v="Tracy Banks"/>
    <s v="Bravo"/>
  </r>
  <r>
    <s v="Gerlach LLC "/>
    <s v="Upton PLC Pharmaceutical Limited"/>
    <s v="Mühlhausen"/>
    <x v="1"/>
    <n v="51.216700000000003"/>
    <n v="10.45"/>
    <s v="Pharmacy"/>
    <s v="Retail"/>
    <x v="168"/>
    <x v="0"/>
    <x v="11"/>
    <x v="37"/>
    <n v="2046"/>
    <x v="3"/>
    <x v="1"/>
    <s v="Stella Given"/>
    <s v="Alisha Cordwell"/>
    <s v="Charlie"/>
  </r>
  <r>
    <s v="Gerlach LLC "/>
    <s v="Raynor LLC Pharm"/>
    <s v="Hilden"/>
    <x v="1"/>
    <n v="51.171399999999998"/>
    <n v="6.9394"/>
    <s v="Pharmacy"/>
    <s v="Retail"/>
    <x v="129"/>
    <x v="3"/>
    <x v="6"/>
    <x v="12"/>
    <n v="7850"/>
    <x v="1"/>
    <x v="1"/>
    <s v="Morris Garcia"/>
    <s v="Tracy Banks"/>
    <s v="Bravo"/>
  </r>
  <r>
    <s v="Gerlach LLC "/>
    <s v="Koelpin, Luettgen and Abernathy Pharmaceutical Ltd"/>
    <s v="Mörfelden-Walldorf"/>
    <x v="1"/>
    <n v="49.989600000000003"/>
    <n v="8.5661000000000005"/>
    <s v="Hospital"/>
    <s v="Private"/>
    <x v="167"/>
    <x v="2"/>
    <x v="29"/>
    <x v="154"/>
    <n v="12920"/>
    <x v="8"/>
    <x v="1"/>
    <s v="Erica Jones"/>
    <s v="James Goodwill"/>
    <s v="Alfa"/>
  </r>
  <r>
    <s v="Gerlach LLC "/>
    <s v="Moen, Murazik and Smith Pharm"/>
    <s v="Altenburg"/>
    <x v="1"/>
    <n v="50.984999999999999"/>
    <n v="12.433299999999999"/>
    <s v="Hospital"/>
    <s v="Government"/>
    <x v="122"/>
    <x v="1"/>
    <x v="8"/>
    <x v="117"/>
    <n v="1328"/>
    <x v="8"/>
    <x v="1"/>
    <s v="Sheila Stones"/>
    <s v="Britanny Bold"/>
    <s v="Delta"/>
  </r>
  <r>
    <s v="Gerlach LLC "/>
    <s v="Osinski-Collins "/>
    <s v="Rheinfelden (Baden)"/>
    <x v="1"/>
    <n v="47.561100000000003"/>
    <n v="7.7916999999999996"/>
    <s v="Hospital"/>
    <s v="Private"/>
    <x v="178"/>
    <x v="4"/>
    <x v="5"/>
    <x v="160"/>
    <n v="3315"/>
    <x v="8"/>
    <x v="1"/>
    <s v="Morris Garcia"/>
    <s v="Tracy Banks"/>
    <s v="Bravo"/>
  </r>
  <r>
    <s v="Gerlach LLC "/>
    <s v="Fritsch, Hodkiewicz and Sipes Pharma Plc"/>
    <s v="Ettlingen"/>
    <x v="1"/>
    <n v="48.933300000000003"/>
    <n v="8.4"/>
    <s v="Hospital"/>
    <s v="Government"/>
    <x v="179"/>
    <x v="0"/>
    <x v="5"/>
    <x v="161"/>
    <n v="3390"/>
    <x v="7"/>
    <x v="1"/>
    <s v="Anne Wu"/>
    <s v="Britanny Bold"/>
    <s v="Delta"/>
  </r>
  <r>
    <s v="Gerlach LLC "/>
    <s v="Rosenbaum-Tromp Pharmacy"/>
    <s v="Lüdenscheid"/>
    <x v="1"/>
    <n v="51.219799999999999"/>
    <n v="7.6273"/>
    <s v="Hospital"/>
    <s v="Private"/>
    <x v="180"/>
    <x v="5"/>
    <x v="6"/>
    <x v="162"/>
    <n v="4590"/>
    <x v="8"/>
    <x v="1"/>
    <s v="Anne Wu"/>
    <s v="Britanny Bold"/>
    <s v="Delta"/>
  </r>
  <r>
    <s v="Gerlach LLC "/>
    <s v="Torphy, Pfeffer and Jakubowski Pharm"/>
    <s v="Limburg"/>
    <x v="1"/>
    <n v="50.383299999999998"/>
    <n v="8.0667000000000009"/>
    <s v="Pharmacy"/>
    <s v="Retail"/>
    <x v="159"/>
    <x v="5"/>
    <x v="11"/>
    <x v="148"/>
    <n v="2115"/>
    <x v="8"/>
    <x v="1"/>
    <s v="Alan Ray"/>
    <s v="James Goodwill"/>
    <s v="Alfa"/>
  </r>
  <r>
    <s v="Gerlach LLC "/>
    <s v="VonRueden-Adams Pharm"/>
    <s v="Delitzsch"/>
    <x v="1"/>
    <n v="51.526400000000002"/>
    <n v="12.342499999999999"/>
    <s v="Pharmacy"/>
    <s v="Retail"/>
    <x v="103"/>
    <x v="0"/>
    <x v="4"/>
    <x v="98"/>
    <n v="7220"/>
    <x v="5"/>
    <x v="1"/>
    <s v="Sheila Stones"/>
    <s v="Britanny Bold"/>
    <s v="Delta"/>
  </r>
  <r>
    <s v="Gerlach LLC "/>
    <s v="Skiles-McKenzie Pharmaceutical Limited"/>
    <s v="Westerstede"/>
    <x v="1"/>
    <n v="53.25"/>
    <n v="7.9166999999999996"/>
    <s v="Hospital"/>
    <s v="Government"/>
    <x v="181"/>
    <x v="1"/>
    <x v="1"/>
    <x v="163"/>
    <n v="3843"/>
    <x v="8"/>
    <x v="1"/>
    <s v="Abigail Thompson"/>
    <s v="Tracy Banks"/>
    <s v="Bravo"/>
  </r>
  <r>
    <s v="Gerlach LLC "/>
    <s v="Okuneva-Corkery Pharm"/>
    <s v="Groß-Gerau"/>
    <x v="1"/>
    <n v="49.921399999999998"/>
    <n v="8.4817999999999998"/>
    <s v="Hospital"/>
    <s v="Government"/>
    <x v="52"/>
    <x v="3"/>
    <x v="8"/>
    <x v="51"/>
    <n v="746"/>
    <x v="8"/>
    <x v="1"/>
    <s v="Jimmy Grey"/>
    <s v="Alisha Cordwell"/>
    <s v="Charlie"/>
  </r>
  <r>
    <s v="Gerlach LLC "/>
    <s v="Hirthe, Williamson and Macejkovic "/>
    <s v="Schwandorf"/>
    <x v="1"/>
    <n v="49.323599999999999"/>
    <n v="12.099299999999999"/>
    <s v="Pharmacy"/>
    <s v="Retail"/>
    <x v="182"/>
    <x v="4"/>
    <x v="30"/>
    <x v="164"/>
    <n v="-13635"/>
    <x v="8"/>
    <x v="1"/>
    <s v="Thompson Crawford"/>
    <s v="James Goodwill"/>
    <s v="Alfa"/>
  </r>
  <r>
    <s v="Gerlach LLC "/>
    <s v="Wehner-Stehr Pharm"/>
    <s v="Chemnitz"/>
    <x v="1"/>
    <n v="50.833300000000001"/>
    <n v="12.916700000000001"/>
    <s v="Hospital"/>
    <s v="Government"/>
    <x v="182"/>
    <x v="4"/>
    <x v="31"/>
    <x v="164"/>
    <n v="-21816"/>
    <x v="8"/>
    <x v="1"/>
    <s v="Stella Given"/>
    <s v="Alisha Cordwell"/>
    <s v="Charlie"/>
  </r>
  <r>
    <s v="Gerlach LLC "/>
    <s v="Nader-Borer Pharmaceutical Limited"/>
    <s v="Grimma"/>
    <x v="1"/>
    <n v="51.238599999999998"/>
    <n v="12.725300000000001"/>
    <s v="Hospital"/>
    <s v="Private"/>
    <x v="26"/>
    <x v="5"/>
    <x v="32"/>
    <x v="26"/>
    <n v="59787"/>
    <x v="2"/>
    <x v="1"/>
    <s v="Stella Given"/>
    <s v="Alisha Cordwell"/>
    <s v="Charlie"/>
  </r>
  <r>
    <s v="Gerlach LLC "/>
    <s v="Herman, Rice and Rippin Pharmaceutical Limited"/>
    <s v="Schorndorf"/>
    <x v="1"/>
    <n v="48.8"/>
    <n v="9.5333000000000006"/>
    <s v="Pharmacy"/>
    <s v="Institution"/>
    <x v="55"/>
    <x v="3"/>
    <x v="11"/>
    <x v="32"/>
    <n v="78"/>
    <x v="8"/>
    <x v="1"/>
    <s v="Sheila Stones"/>
    <s v="Britanny Bold"/>
    <s v="Del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4A6DC-B274-47FA-8EE7-BAD33163B5D7}" name="PivotTable17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 rowHeaderCaption="Product Name">
  <location ref="J3:K10" firstHeaderRow="1" firstDataRow="1" firstDataCol="1"/>
  <pivotFields count="18"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 measureFilter="1">
      <items count="184">
        <item x="45"/>
        <item x="99"/>
        <item x="2"/>
        <item x="63"/>
        <item x="20"/>
        <item x="139"/>
        <item x="148"/>
        <item x="69"/>
        <item x="179"/>
        <item x="134"/>
        <item x="103"/>
        <item x="100"/>
        <item x="88"/>
        <item x="41"/>
        <item x="13"/>
        <item x="164"/>
        <item x="145"/>
        <item x="174"/>
        <item x="163"/>
        <item x="151"/>
        <item x="32"/>
        <item x="58"/>
        <item x="91"/>
        <item x="118"/>
        <item x="62"/>
        <item x="121"/>
        <item x="166"/>
        <item x="117"/>
        <item x="67"/>
        <item x="14"/>
        <item x="112"/>
        <item x="79"/>
        <item x="96"/>
        <item x="9"/>
        <item x="70"/>
        <item x="168"/>
        <item x="102"/>
        <item x="122"/>
        <item x="147"/>
        <item x="155"/>
        <item x="160"/>
        <item x="64"/>
        <item x="156"/>
        <item x="181"/>
        <item x="170"/>
        <item x="11"/>
        <item x="61"/>
        <item x="106"/>
        <item x="52"/>
        <item x="137"/>
        <item x="154"/>
        <item x="120"/>
        <item x="46"/>
        <item x="1"/>
        <item x="76"/>
        <item x="140"/>
        <item x="95"/>
        <item x="81"/>
        <item x="53"/>
        <item x="31"/>
        <item x="177"/>
        <item x="19"/>
        <item x="141"/>
        <item x="116"/>
        <item x="176"/>
        <item x="21"/>
        <item x="89"/>
        <item x="138"/>
        <item x="73"/>
        <item x="30"/>
        <item x="149"/>
        <item x="114"/>
        <item x="115"/>
        <item x="128"/>
        <item x="55"/>
        <item x="130"/>
        <item x="49"/>
        <item x="34"/>
        <item x="12"/>
        <item x="47"/>
        <item x="113"/>
        <item x="171"/>
        <item x="132"/>
        <item x="161"/>
        <item x="54"/>
        <item x="28"/>
        <item x="71"/>
        <item x="83"/>
        <item x="157"/>
        <item x="143"/>
        <item x="109"/>
        <item x="169"/>
        <item x="108"/>
        <item x="182"/>
        <item x="82"/>
        <item x="127"/>
        <item x="124"/>
        <item x="33"/>
        <item x="105"/>
        <item x="36"/>
        <item x="84"/>
        <item x="98"/>
        <item x="51"/>
        <item x="104"/>
        <item x="146"/>
        <item x="85"/>
        <item x="66"/>
        <item x="3"/>
        <item x="8"/>
        <item x="39"/>
        <item x="23"/>
        <item x="97"/>
        <item x="87"/>
        <item x="25"/>
        <item x="165"/>
        <item x="126"/>
        <item x="133"/>
        <item x="37"/>
        <item x="172"/>
        <item x="7"/>
        <item x="15"/>
        <item x="92"/>
        <item x="17"/>
        <item x="4"/>
        <item x="56"/>
        <item x="29"/>
        <item x="18"/>
        <item x="5"/>
        <item x="57"/>
        <item x="59"/>
        <item x="24"/>
        <item x="131"/>
        <item x="107"/>
        <item x="152"/>
        <item x="44"/>
        <item x="38"/>
        <item x="144"/>
        <item x="78"/>
        <item x="162"/>
        <item x="94"/>
        <item x="175"/>
        <item x="125"/>
        <item x="50"/>
        <item x="180"/>
        <item x="111"/>
        <item x="150"/>
        <item x="48"/>
        <item x="22"/>
        <item x="178"/>
        <item x="86"/>
        <item x="27"/>
        <item x="119"/>
        <item x="80"/>
        <item x="93"/>
        <item x="40"/>
        <item x="135"/>
        <item x="6"/>
        <item x="77"/>
        <item x="123"/>
        <item x="43"/>
        <item x="42"/>
        <item x="173"/>
        <item x="26"/>
        <item x="35"/>
        <item x="110"/>
        <item x="136"/>
        <item x="142"/>
        <item x="0"/>
        <item x="16"/>
        <item x="129"/>
        <item x="68"/>
        <item x="10"/>
        <item x="75"/>
        <item x="60"/>
        <item x="74"/>
        <item x="159"/>
        <item x="90"/>
        <item x="101"/>
        <item x="65"/>
        <item x="153"/>
        <item x="72"/>
        <item x="158"/>
        <item x="167"/>
        <item t="default"/>
      </items>
    </pivotField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2" baseField="0" baseItem="0" numFmtId="164"/>
  </dataFields>
  <chartFormats count="2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F525D-1182-43E0-BFDE-44FED7BE7614}" name="PivotTable6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 rowHeaderCaption="Product Name">
  <location ref="A3:B14" firstHeaderRow="1" firstDataRow="1" firstDataCol="1"/>
  <pivotFields count="18"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 measureFilter="1">
      <items count="184">
        <item x="45"/>
        <item x="99"/>
        <item x="2"/>
        <item x="63"/>
        <item x="20"/>
        <item x="139"/>
        <item x="148"/>
        <item x="69"/>
        <item x="179"/>
        <item x="134"/>
        <item x="103"/>
        <item x="100"/>
        <item x="88"/>
        <item x="41"/>
        <item x="13"/>
        <item x="164"/>
        <item x="145"/>
        <item x="174"/>
        <item x="163"/>
        <item x="151"/>
        <item x="32"/>
        <item x="58"/>
        <item x="91"/>
        <item x="118"/>
        <item x="62"/>
        <item x="121"/>
        <item x="166"/>
        <item x="117"/>
        <item x="67"/>
        <item x="14"/>
        <item x="112"/>
        <item x="79"/>
        <item x="96"/>
        <item x="9"/>
        <item x="70"/>
        <item x="168"/>
        <item x="102"/>
        <item x="122"/>
        <item x="147"/>
        <item x="155"/>
        <item x="160"/>
        <item x="64"/>
        <item x="156"/>
        <item x="181"/>
        <item x="170"/>
        <item x="11"/>
        <item x="61"/>
        <item x="106"/>
        <item x="52"/>
        <item x="137"/>
        <item x="154"/>
        <item x="120"/>
        <item x="46"/>
        <item x="1"/>
        <item x="76"/>
        <item x="140"/>
        <item x="95"/>
        <item x="81"/>
        <item x="53"/>
        <item x="31"/>
        <item x="177"/>
        <item x="19"/>
        <item x="141"/>
        <item x="116"/>
        <item x="176"/>
        <item x="21"/>
        <item x="89"/>
        <item x="138"/>
        <item x="73"/>
        <item x="30"/>
        <item x="149"/>
        <item x="114"/>
        <item x="115"/>
        <item x="128"/>
        <item x="55"/>
        <item x="130"/>
        <item x="49"/>
        <item x="34"/>
        <item x="12"/>
        <item x="47"/>
        <item x="113"/>
        <item x="171"/>
        <item x="132"/>
        <item x="161"/>
        <item x="54"/>
        <item x="28"/>
        <item x="71"/>
        <item x="83"/>
        <item x="157"/>
        <item x="143"/>
        <item x="109"/>
        <item x="169"/>
        <item x="108"/>
        <item x="182"/>
        <item x="82"/>
        <item x="127"/>
        <item x="124"/>
        <item x="33"/>
        <item x="105"/>
        <item x="36"/>
        <item x="84"/>
        <item x="98"/>
        <item x="51"/>
        <item x="104"/>
        <item x="146"/>
        <item x="85"/>
        <item x="66"/>
        <item x="3"/>
        <item x="8"/>
        <item x="39"/>
        <item x="23"/>
        <item x="97"/>
        <item x="87"/>
        <item x="25"/>
        <item x="165"/>
        <item x="126"/>
        <item x="133"/>
        <item x="37"/>
        <item x="172"/>
        <item x="7"/>
        <item x="15"/>
        <item x="92"/>
        <item x="17"/>
        <item x="4"/>
        <item x="56"/>
        <item x="29"/>
        <item x="18"/>
        <item x="5"/>
        <item x="57"/>
        <item x="59"/>
        <item x="24"/>
        <item x="131"/>
        <item x="107"/>
        <item x="152"/>
        <item x="44"/>
        <item x="38"/>
        <item x="144"/>
        <item x="78"/>
        <item x="162"/>
        <item x="94"/>
        <item x="175"/>
        <item x="125"/>
        <item x="50"/>
        <item x="180"/>
        <item x="111"/>
        <item x="150"/>
        <item x="48"/>
        <item x="22"/>
        <item x="178"/>
        <item x="86"/>
        <item x="27"/>
        <item x="119"/>
        <item x="80"/>
        <item x="93"/>
        <item x="40"/>
        <item x="135"/>
        <item x="6"/>
        <item x="77"/>
        <item x="123"/>
        <item x="43"/>
        <item x="42"/>
        <item x="173"/>
        <item x="26"/>
        <item x="35"/>
        <item x="110"/>
        <item x="136"/>
        <item x="142"/>
        <item x="0"/>
        <item x="16"/>
        <item x="129"/>
        <item x="68"/>
        <item x="10"/>
        <item x="75"/>
        <item x="60"/>
        <item x="74"/>
        <item x="159"/>
        <item x="90"/>
        <item x="101"/>
        <item x="65"/>
        <item x="153"/>
        <item x="72"/>
        <item x="158"/>
        <item x="167"/>
        <item t="default"/>
      </items>
    </pivotField>
    <pivotField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 v="170"/>
    </i>
    <i>
      <x v="171"/>
    </i>
    <i>
      <x v="150"/>
    </i>
    <i>
      <x v="108"/>
    </i>
    <i>
      <x v="28"/>
    </i>
    <i>
      <x v="119"/>
    </i>
    <i>
      <x v="162"/>
    </i>
    <i>
      <x v="64"/>
    </i>
    <i>
      <x v="142"/>
    </i>
    <i>
      <x v="145"/>
    </i>
    <i t="grand">
      <x/>
    </i>
  </rowItems>
  <colItems count="1">
    <i/>
  </colItems>
  <dataFields count="1">
    <dataField name="Sum of Sales" fld="12" baseField="0" baseItem="0" numFmtId="164"/>
  </dataFields>
  <chartFormats count="2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B10E0-BE3F-4AFE-8158-E98ED7DDCEFA}" name="PivotTable15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1" rowHeaderCaption="Country">
  <location ref="D3:E6" firstHeaderRow="1" firstDataRow="1" firstDataCol="1"/>
  <pivotFields count="18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 measureFilter="1">
      <items count="184">
        <item x="45"/>
        <item x="99"/>
        <item x="2"/>
        <item x="63"/>
        <item x="20"/>
        <item x="139"/>
        <item x="148"/>
        <item x="69"/>
        <item x="179"/>
        <item x="134"/>
        <item x="103"/>
        <item x="100"/>
        <item x="88"/>
        <item x="41"/>
        <item x="13"/>
        <item x="164"/>
        <item x="145"/>
        <item x="174"/>
        <item x="163"/>
        <item x="151"/>
        <item x="32"/>
        <item x="58"/>
        <item x="91"/>
        <item x="118"/>
        <item x="62"/>
        <item x="121"/>
        <item x="166"/>
        <item x="117"/>
        <item x="67"/>
        <item x="14"/>
        <item x="112"/>
        <item x="79"/>
        <item x="96"/>
        <item x="9"/>
        <item x="70"/>
        <item x="168"/>
        <item x="102"/>
        <item x="122"/>
        <item x="147"/>
        <item x="155"/>
        <item x="160"/>
        <item x="64"/>
        <item x="156"/>
        <item x="181"/>
        <item x="170"/>
        <item x="11"/>
        <item x="61"/>
        <item x="106"/>
        <item x="52"/>
        <item x="137"/>
        <item x="154"/>
        <item x="120"/>
        <item x="46"/>
        <item x="1"/>
        <item x="76"/>
        <item x="140"/>
        <item x="95"/>
        <item x="81"/>
        <item x="53"/>
        <item x="31"/>
        <item x="177"/>
        <item x="19"/>
        <item x="141"/>
        <item x="116"/>
        <item x="176"/>
        <item x="21"/>
        <item x="89"/>
        <item x="138"/>
        <item x="73"/>
        <item x="30"/>
        <item x="149"/>
        <item x="114"/>
        <item x="115"/>
        <item x="128"/>
        <item x="55"/>
        <item x="130"/>
        <item x="49"/>
        <item x="34"/>
        <item x="12"/>
        <item x="47"/>
        <item x="113"/>
        <item x="171"/>
        <item x="132"/>
        <item x="161"/>
        <item x="54"/>
        <item x="28"/>
        <item x="71"/>
        <item x="83"/>
        <item x="157"/>
        <item x="143"/>
        <item x="109"/>
        <item x="169"/>
        <item x="108"/>
        <item x="182"/>
        <item x="82"/>
        <item x="127"/>
        <item x="124"/>
        <item x="33"/>
        <item x="105"/>
        <item x="36"/>
        <item x="84"/>
        <item x="98"/>
        <item x="51"/>
        <item x="104"/>
        <item x="146"/>
        <item x="85"/>
        <item x="66"/>
        <item x="3"/>
        <item x="8"/>
        <item x="39"/>
        <item x="23"/>
        <item x="97"/>
        <item x="87"/>
        <item x="25"/>
        <item x="165"/>
        <item x="126"/>
        <item x="133"/>
        <item x="37"/>
        <item x="172"/>
        <item x="7"/>
        <item x="15"/>
        <item x="92"/>
        <item x="17"/>
        <item x="4"/>
        <item x="56"/>
        <item x="29"/>
        <item x="18"/>
        <item x="5"/>
        <item x="57"/>
        <item x="59"/>
        <item x="24"/>
        <item x="131"/>
        <item x="107"/>
        <item x="152"/>
        <item x="44"/>
        <item x="38"/>
        <item x="144"/>
        <item x="78"/>
        <item x="162"/>
        <item x="94"/>
        <item x="175"/>
        <item x="125"/>
        <item x="50"/>
        <item x="180"/>
        <item x="111"/>
        <item x="150"/>
        <item x="48"/>
        <item x="22"/>
        <item x="178"/>
        <item x="86"/>
        <item x="27"/>
        <item x="119"/>
        <item x="80"/>
        <item x="93"/>
        <item x="40"/>
        <item x="135"/>
        <item x="6"/>
        <item x="77"/>
        <item x="123"/>
        <item x="43"/>
        <item x="42"/>
        <item x="173"/>
        <item x="26"/>
        <item x="35"/>
        <item x="110"/>
        <item x="136"/>
        <item x="142"/>
        <item x="0"/>
        <item x="16"/>
        <item x="129"/>
        <item x="68"/>
        <item x="10"/>
        <item x="75"/>
        <item x="60"/>
        <item x="74"/>
        <item x="159"/>
        <item x="90"/>
        <item x="101"/>
        <item x="65"/>
        <item x="153"/>
        <item x="72"/>
        <item x="158"/>
        <item x="167"/>
        <item t="default"/>
      </items>
    </pivotField>
    <pivotField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12" baseField="0" baseItem="0" numFmtId="164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0A192-C4DE-4999-BEE9-0DE4592BD0B2}" name="PivotTable14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19:A20" firstHeaderRow="1" firstDataRow="1" firstDataCol="0"/>
  <pivotFields count="18"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 measureFilter="1">
      <items count="184">
        <item x="45"/>
        <item x="99"/>
        <item x="2"/>
        <item x="63"/>
        <item x="20"/>
        <item x="139"/>
        <item x="148"/>
        <item x="69"/>
        <item x="179"/>
        <item x="134"/>
        <item x="103"/>
        <item x="100"/>
        <item x="88"/>
        <item x="41"/>
        <item x="13"/>
        <item x="164"/>
        <item x="145"/>
        <item x="174"/>
        <item x="163"/>
        <item x="151"/>
        <item x="32"/>
        <item x="58"/>
        <item x="91"/>
        <item x="118"/>
        <item x="62"/>
        <item x="121"/>
        <item x="166"/>
        <item x="117"/>
        <item x="67"/>
        <item x="14"/>
        <item x="112"/>
        <item x="79"/>
        <item x="96"/>
        <item x="9"/>
        <item x="70"/>
        <item x="168"/>
        <item x="102"/>
        <item x="122"/>
        <item x="147"/>
        <item x="155"/>
        <item x="160"/>
        <item x="64"/>
        <item x="156"/>
        <item x="181"/>
        <item x="170"/>
        <item x="11"/>
        <item x="61"/>
        <item x="106"/>
        <item x="52"/>
        <item x="137"/>
        <item x="154"/>
        <item x="120"/>
        <item x="46"/>
        <item x="1"/>
        <item x="76"/>
        <item x="140"/>
        <item x="95"/>
        <item x="81"/>
        <item x="53"/>
        <item x="31"/>
        <item x="177"/>
        <item x="19"/>
        <item x="141"/>
        <item x="116"/>
        <item x="176"/>
        <item x="21"/>
        <item x="89"/>
        <item x="138"/>
        <item x="73"/>
        <item x="30"/>
        <item x="149"/>
        <item x="114"/>
        <item x="115"/>
        <item x="128"/>
        <item x="55"/>
        <item x="130"/>
        <item x="49"/>
        <item x="34"/>
        <item x="12"/>
        <item x="47"/>
        <item x="113"/>
        <item x="171"/>
        <item x="132"/>
        <item x="161"/>
        <item x="54"/>
        <item x="28"/>
        <item x="71"/>
        <item x="83"/>
        <item x="157"/>
        <item x="143"/>
        <item x="109"/>
        <item x="169"/>
        <item x="108"/>
        <item x="182"/>
        <item x="82"/>
        <item x="127"/>
        <item x="124"/>
        <item x="33"/>
        <item x="105"/>
        <item x="36"/>
        <item x="84"/>
        <item x="98"/>
        <item x="51"/>
        <item x="104"/>
        <item x="146"/>
        <item x="85"/>
        <item x="66"/>
        <item x="3"/>
        <item x="8"/>
        <item x="39"/>
        <item x="23"/>
        <item x="97"/>
        <item x="87"/>
        <item x="25"/>
        <item x="165"/>
        <item x="126"/>
        <item x="133"/>
        <item x="37"/>
        <item x="172"/>
        <item x="7"/>
        <item x="15"/>
        <item x="92"/>
        <item x="17"/>
        <item x="4"/>
        <item x="56"/>
        <item x="29"/>
        <item x="18"/>
        <item x="5"/>
        <item x="57"/>
        <item x="59"/>
        <item x="24"/>
        <item x="131"/>
        <item x="107"/>
        <item x="152"/>
        <item x="44"/>
        <item x="38"/>
        <item x="144"/>
        <item x="78"/>
        <item x="162"/>
        <item x="94"/>
        <item x="175"/>
        <item x="125"/>
        <item x="50"/>
        <item x="180"/>
        <item x="111"/>
        <item x="150"/>
        <item x="48"/>
        <item x="22"/>
        <item x="178"/>
        <item x="86"/>
        <item x="27"/>
        <item x="119"/>
        <item x="80"/>
        <item x="93"/>
        <item x="40"/>
        <item x="135"/>
        <item x="6"/>
        <item x="77"/>
        <item x="123"/>
        <item x="43"/>
        <item x="42"/>
        <item x="173"/>
        <item x="26"/>
        <item x="35"/>
        <item x="110"/>
        <item x="136"/>
        <item x="142"/>
        <item x="0"/>
        <item x="16"/>
        <item x="129"/>
        <item x="68"/>
        <item x="10"/>
        <item x="75"/>
        <item x="60"/>
        <item x="74"/>
        <item x="159"/>
        <item x="90"/>
        <item x="101"/>
        <item x="65"/>
        <item x="153"/>
        <item x="72"/>
        <item x="158"/>
        <item x="167"/>
        <item t="default"/>
      </items>
    </pivotField>
    <pivotField showAll="0">
      <items count="7">
        <item x="2"/>
        <item x="1"/>
        <item x="5"/>
        <item x="4"/>
        <item x="3"/>
        <item x="0"/>
        <item t="default"/>
      </items>
    </pivotField>
    <pivotField showAll="0">
      <items count="34">
        <item x="31"/>
        <item x="30"/>
        <item x="27"/>
        <item x="15"/>
        <item x="8"/>
        <item x="11"/>
        <item x="0"/>
        <item x="5"/>
        <item x="3"/>
        <item x="1"/>
        <item x="16"/>
        <item x="6"/>
        <item x="23"/>
        <item x="20"/>
        <item x="21"/>
        <item x="18"/>
        <item x="10"/>
        <item x="25"/>
        <item x="4"/>
        <item x="19"/>
        <item x="9"/>
        <item x="2"/>
        <item x="26"/>
        <item x="7"/>
        <item x="14"/>
        <item x="29"/>
        <item x="12"/>
        <item x="22"/>
        <item x="13"/>
        <item x="17"/>
        <item x="32"/>
        <item x="24"/>
        <item x="28"/>
        <item t="default"/>
      </items>
    </pivotField>
    <pivotField showAll="0">
      <items count="166">
        <item x="159"/>
        <item x="24"/>
        <item x="76"/>
        <item x="32"/>
        <item x="130"/>
        <item x="102"/>
        <item x="116"/>
        <item x="151"/>
        <item x="40"/>
        <item x="142"/>
        <item x="2"/>
        <item x="114"/>
        <item x="147"/>
        <item x="44"/>
        <item x="101"/>
        <item x="46"/>
        <item x="152"/>
        <item x="38"/>
        <item x="105"/>
        <item x="31"/>
        <item x="150"/>
        <item x="73"/>
        <item x="39"/>
        <item x="5"/>
        <item x="78"/>
        <item x="62"/>
        <item x="104"/>
        <item x="96"/>
        <item x="47"/>
        <item x="145"/>
        <item x="71"/>
        <item x="126"/>
        <item x="30"/>
        <item x="123"/>
        <item x="91"/>
        <item x="55"/>
        <item x="119"/>
        <item x="77"/>
        <item x="93"/>
        <item x="28"/>
        <item x="54"/>
        <item x="53"/>
        <item x="22"/>
        <item x="9"/>
        <item x="92"/>
        <item x="11"/>
        <item x="141"/>
        <item x="57"/>
        <item x="58"/>
        <item x="13"/>
        <item x="17"/>
        <item x="69"/>
        <item x="113"/>
        <item x="164"/>
        <item x="125"/>
        <item x="19"/>
        <item x="86"/>
        <item x="70"/>
        <item x="107"/>
        <item x="154"/>
        <item x="99"/>
        <item x="115"/>
        <item x="108"/>
        <item x="45"/>
        <item x="98"/>
        <item x="0"/>
        <item x="51"/>
        <item x="109"/>
        <item x="121"/>
        <item x="68"/>
        <item x="80"/>
        <item x="43"/>
        <item x="103"/>
        <item x="90"/>
        <item x="153"/>
        <item x="135"/>
        <item x="106"/>
        <item x="133"/>
        <item x="18"/>
        <item x="120"/>
        <item x="118"/>
        <item x="20"/>
        <item x="49"/>
        <item x="158"/>
        <item x="3"/>
        <item x="124"/>
        <item x="112"/>
        <item x="149"/>
        <item x="33"/>
        <item x="4"/>
        <item x="162"/>
        <item x="140"/>
        <item x="74"/>
        <item x="129"/>
        <item x="157"/>
        <item x="42"/>
        <item x="14"/>
        <item x="41"/>
        <item x="138"/>
        <item x="82"/>
        <item x="56"/>
        <item x="25"/>
        <item x="26"/>
        <item x="97"/>
        <item x="139"/>
        <item x="143"/>
        <item x="83"/>
        <item x="89"/>
        <item x="95"/>
        <item x="6"/>
        <item x="144"/>
        <item x="16"/>
        <item x="163"/>
        <item x="8"/>
        <item x="155"/>
        <item x="131"/>
        <item x="136"/>
        <item x="111"/>
        <item x="1"/>
        <item x="127"/>
        <item x="34"/>
        <item x="15"/>
        <item x="65"/>
        <item x="87"/>
        <item x="110"/>
        <item x="85"/>
        <item x="156"/>
        <item x="132"/>
        <item x="59"/>
        <item x="63"/>
        <item x="61"/>
        <item x="100"/>
        <item x="128"/>
        <item x="75"/>
        <item x="27"/>
        <item x="79"/>
        <item x="67"/>
        <item x="160"/>
        <item x="117"/>
        <item x="161"/>
        <item x="94"/>
        <item x="37"/>
        <item x="52"/>
        <item x="134"/>
        <item x="23"/>
        <item x="29"/>
        <item x="148"/>
        <item x="72"/>
        <item x="146"/>
        <item x="64"/>
        <item x="50"/>
        <item x="137"/>
        <item x="7"/>
        <item x="60"/>
        <item x="10"/>
        <item x="36"/>
        <item x="21"/>
        <item x="84"/>
        <item x="35"/>
        <item x="88"/>
        <item x="48"/>
        <item x="122"/>
        <item x="81"/>
        <item x="12"/>
        <item x="66"/>
        <item t="default"/>
      </items>
    </pivotField>
    <pivotField dataField="1" showAll="0"/>
    <pivotField showAll="0">
      <items count="13">
        <item x="0"/>
        <item x="1"/>
        <item x="3"/>
        <item x="6"/>
        <item x="7"/>
        <item x="11"/>
        <item x="5"/>
        <item x="9"/>
        <item x="2"/>
        <item x="8"/>
        <item x="10"/>
        <item x="4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SALES" fld="12" baseField="0" baseItem="0" numFmtId="164"/>
  </dataFields>
  <formats count="1">
    <format dxfId="1">
      <pivotArea outline="0" collapsedLevelsAreSubtotals="1" fieldPosition="0"/>
    </format>
  </format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0ED6C-2B06-4D76-88C6-1D8E31171D31}" name="PivotTable13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8" rowHeaderCaption="PRODUCT NAME">
  <location ref="G10:H16" firstHeaderRow="1" firstDataRow="1" firstDataCol="1"/>
  <pivotFields count="18"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 measureFilter="1">
      <items count="184">
        <item x="45"/>
        <item x="99"/>
        <item x="2"/>
        <item x="63"/>
        <item x="20"/>
        <item x="139"/>
        <item x="148"/>
        <item x="69"/>
        <item x="179"/>
        <item x="134"/>
        <item x="103"/>
        <item x="100"/>
        <item x="88"/>
        <item x="41"/>
        <item x="13"/>
        <item x="164"/>
        <item x="145"/>
        <item x="174"/>
        <item x="163"/>
        <item x="151"/>
        <item x="32"/>
        <item x="58"/>
        <item x="91"/>
        <item x="118"/>
        <item x="62"/>
        <item x="121"/>
        <item x="166"/>
        <item x="117"/>
        <item x="67"/>
        <item x="14"/>
        <item x="112"/>
        <item x="79"/>
        <item x="96"/>
        <item x="9"/>
        <item x="70"/>
        <item x="168"/>
        <item x="102"/>
        <item x="122"/>
        <item x="147"/>
        <item x="155"/>
        <item x="160"/>
        <item x="64"/>
        <item x="156"/>
        <item x="181"/>
        <item x="170"/>
        <item x="11"/>
        <item x="61"/>
        <item x="106"/>
        <item x="52"/>
        <item x="137"/>
        <item x="154"/>
        <item x="120"/>
        <item x="46"/>
        <item x="1"/>
        <item x="76"/>
        <item x="140"/>
        <item x="95"/>
        <item x="81"/>
        <item x="53"/>
        <item x="31"/>
        <item x="177"/>
        <item x="19"/>
        <item x="141"/>
        <item x="116"/>
        <item x="176"/>
        <item x="21"/>
        <item x="89"/>
        <item x="138"/>
        <item x="73"/>
        <item x="30"/>
        <item x="149"/>
        <item x="114"/>
        <item x="115"/>
        <item x="128"/>
        <item x="55"/>
        <item x="130"/>
        <item x="49"/>
        <item x="34"/>
        <item x="12"/>
        <item x="47"/>
        <item x="113"/>
        <item x="171"/>
        <item x="132"/>
        <item x="161"/>
        <item x="54"/>
        <item x="28"/>
        <item x="71"/>
        <item x="83"/>
        <item x="157"/>
        <item x="143"/>
        <item x="109"/>
        <item x="169"/>
        <item x="108"/>
        <item x="182"/>
        <item x="82"/>
        <item x="127"/>
        <item x="124"/>
        <item x="33"/>
        <item x="105"/>
        <item x="36"/>
        <item x="84"/>
        <item x="98"/>
        <item x="51"/>
        <item x="104"/>
        <item x="146"/>
        <item x="85"/>
        <item x="66"/>
        <item x="3"/>
        <item x="8"/>
        <item x="39"/>
        <item x="23"/>
        <item x="97"/>
        <item x="87"/>
        <item x="25"/>
        <item x="165"/>
        <item x="126"/>
        <item x="133"/>
        <item x="37"/>
        <item x="172"/>
        <item x="7"/>
        <item x="15"/>
        <item x="92"/>
        <item x="17"/>
        <item x="4"/>
        <item x="56"/>
        <item x="29"/>
        <item x="18"/>
        <item x="5"/>
        <item x="57"/>
        <item x="59"/>
        <item x="24"/>
        <item x="131"/>
        <item x="107"/>
        <item x="152"/>
        <item x="44"/>
        <item x="38"/>
        <item x="144"/>
        <item x="78"/>
        <item x="162"/>
        <item x="94"/>
        <item x="175"/>
        <item x="125"/>
        <item x="50"/>
        <item x="180"/>
        <item x="111"/>
        <item x="150"/>
        <item x="48"/>
        <item x="22"/>
        <item x="178"/>
        <item x="86"/>
        <item x="27"/>
        <item x="119"/>
        <item x="80"/>
        <item x="93"/>
        <item x="40"/>
        <item x="135"/>
        <item x="6"/>
        <item x="77"/>
        <item x="123"/>
        <item x="43"/>
        <item x="42"/>
        <item x="173"/>
        <item x="26"/>
        <item x="35"/>
        <item x="110"/>
        <item x="136"/>
        <item x="142"/>
        <item x="0"/>
        <item x="16"/>
        <item x="129"/>
        <item x="68"/>
        <item x="10"/>
        <item x="75"/>
        <item x="60"/>
        <item x="74"/>
        <item x="159"/>
        <item x="90"/>
        <item x="101"/>
        <item x="65"/>
        <item x="153"/>
        <item x="72"/>
        <item x="158"/>
        <item x="167"/>
        <item t="default"/>
      </items>
    </pivotField>
    <pivotField showAll="0">
      <items count="7">
        <item x="2"/>
        <item x="1"/>
        <item x="5"/>
        <item x="4"/>
        <item x="3"/>
        <item x="0"/>
        <item t="default"/>
      </items>
    </pivotField>
    <pivotField showAll="0">
      <items count="34">
        <item x="31"/>
        <item x="30"/>
        <item x="27"/>
        <item x="15"/>
        <item x="8"/>
        <item x="11"/>
        <item x="0"/>
        <item x="5"/>
        <item x="3"/>
        <item x="1"/>
        <item x="16"/>
        <item x="6"/>
        <item x="23"/>
        <item x="20"/>
        <item x="21"/>
        <item x="18"/>
        <item x="10"/>
        <item x="25"/>
        <item x="4"/>
        <item x="19"/>
        <item x="9"/>
        <item x="2"/>
        <item x="26"/>
        <item x="7"/>
        <item x="14"/>
        <item x="29"/>
        <item x="12"/>
        <item x="22"/>
        <item x="13"/>
        <item x="17"/>
        <item x="32"/>
        <item x="24"/>
        <item x="28"/>
        <item t="default"/>
      </items>
    </pivotField>
    <pivotField showAll="0">
      <items count="166">
        <item x="159"/>
        <item x="24"/>
        <item x="76"/>
        <item x="32"/>
        <item x="130"/>
        <item x="102"/>
        <item x="116"/>
        <item x="151"/>
        <item x="40"/>
        <item x="142"/>
        <item x="2"/>
        <item x="114"/>
        <item x="147"/>
        <item x="44"/>
        <item x="101"/>
        <item x="46"/>
        <item x="152"/>
        <item x="38"/>
        <item x="105"/>
        <item x="31"/>
        <item x="150"/>
        <item x="73"/>
        <item x="39"/>
        <item x="5"/>
        <item x="78"/>
        <item x="62"/>
        <item x="104"/>
        <item x="96"/>
        <item x="47"/>
        <item x="145"/>
        <item x="71"/>
        <item x="126"/>
        <item x="30"/>
        <item x="123"/>
        <item x="91"/>
        <item x="55"/>
        <item x="119"/>
        <item x="77"/>
        <item x="93"/>
        <item x="28"/>
        <item x="54"/>
        <item x="53"/>
        <item x="22"/>
        <item x="9"/>
        <item x="92"/>
        <item x="11"/>
        <item x="141"/>
        <item x="57"/>
        <item x="58"/>
        <item x="13"/>
        <item x="17"/>
        <item x="69"/>
        <item x="113"/>
        <item x="164"/>
        <item x="125"/>
        <item x="19"/>
        <item x="86"/>
        <item x="70"/>
        <item x="107"/>
        <item x="154"/>
        <item x="99"/>
        <item x="115"/>
        <item x="108"/>
        <item x="45"/>
        <item x="98"/>
        <item x="0"/>
        <item x="51"/>
        <item x="109"/>
        <item x="121"/>
        <item x="68"/>
        <item x="80"/>
        <item x="43"/>
        <item x="103"/>
        <item x="90"/>
        <item x="153"/>
        <item x="135"/>
        <item x="106"/>
        <item x="133"/>
        <item x="18"/>
        <item x="120"/>
        <item x="118"/>
        <item x="20"/>
        <item x="49"/>
        <item x="158"/>
        <item x="3"/>
        <item x="124"/>
        <item x="112"/>
        <item x="149"/>
        <item x="33"/>
        <item x="4"/>
        <item x="162"/>
        <item x="140"/>
        <item x="74"/>
        <item x="129"/>
        <item x="157"/>
        <item x="42"/>
        <item x="14"/>
        <item x="41"/>
        <item x="138"/>
        <item x="82"/>
        <item x="56"/>
        <item x="25"/>
        <item x="26"/>
        <item x="97"/>
        <item x="139"/>
        <item x="143"/>
        <item x="83"/>
        <item x="89"/>
        <item x="95"/>
        <item x="6"/>
        <item x="144"/>
        <item x="16"/>
        <item x="163"/>
        <item x="8"/>
        <item x="155"/>
        <item x="131"/>
        <item x="136"/>
        <item x="111"/>
        <item x="1"/>
        <item x="127"/>
        <item x="34"/>
        <item x="15"/>
        <item x="65"/>
        <item x="87"/>
        <item x="110"/>
        <item x="85"/>
        <item x="156"/>
        <item x="132"/>
        <item x="59"/>
        <item x="63"/>
        <item x="61"/>
        <item x="100"/>
        <item x="128"/>
        <item x="75"/>
        <item x="27"/>
        <item x="79"/>
        <item x="67"/>
        <item x="160"/>
        <item x="117"/>
        <item x="161"/>
        <item x="94"/>
        <item x="37"/>
        <item x="52"/>
        <item x="134"/>
        <item x="23"/>
        <item x="29"/>
        <item x="148"/>
        <item x="72"/>
        <item x="146"/>
        <item x="64"/>
        <item x="50"/>
        <item x="137"/>
        <item x="7"/>
        <item x="60"/>
        <item x="10"/>
        <item x="36"/>
        <item x="21"/>
        <item x="84"/>
        <item x="35"/>
        <item x="88"/>
        <item x="48"/>
        <item x="122"/>
        <item x="81"/>
        <item x="12"/>
        <item x="66"/>
        <item t="default"/>
      </items>
    </pivotField>
    <pivotField dataField="1" showAll="0"/>
    <pivotField showAll="0">
      <items count="13">
        <item x="0"/>
        <item x="1"/>
        <item x="3"/>
        <item x="6"/>
        <item x="7"/>
        <item x="11"/>
        <item x="5"/>
        <item x="9"/>
        <item x="2"/>
        <item x="8"/>
        <item x="10"/>
        <item x="4"/>
        <item t="default"/>
      </items>
    </pivotField>
    <pivotField showAll="0"/>
    <pivotField showAll="0"/>
    <pivotField showAll="0"/>
    <pivotField showAll="0"/>
  </pivotFields>
  <rowFields count="1">
    <field x="8"/>
  </rowFields>
  <rowItems count="6">
    <i>
      <x v="15"/>
    </i>
    <i>
      <x v="18"/>
    </i>
    <i>
      <x v="60"/>
    </i>
    <i>
      <x v="93"/>
    </i>
    <i>
      <x v="140"/>
    </i>
    <i t="grand">
      <x/>
    </i>
  </rowItems>
  <colItems count="1">
    <i/>
  </colItems>
  <dataFields count="1">
    <dataField name="Sum of Sales" fld="12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4C36E-755F-43D7-A578-E1015EA7B380}" name="PivotTable12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 rowHeaderCaption="Product Name">
  <location ref="D10:E16" firstHeaderRow="1" firstDataRow="1" firstDataCol="1"/>
  <pivotFields count="18"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 measureFilter="1" sortType="ascending">
      <items count="184">
        <item x="45"/>
        <item x="99"/>
        <item x="2"/>
        <item x="63"/>
        <item x="20"/>
        <item x="139"/>
        <item x="148"/>
        <item x="69"/>
        <item x="179"/>
        <item x="134"/>
        <item x="103"/>
        <item x="100"/>
        <item x="88"/>
        <item x="41"/>
        <item x="13"/>
        <item x="164"/>
        <item x="145"/>
        <item x="174"/>
        <item x="163"/>
        <item x="151"/>
        <item x="32"/>
        <item x="58"/>
        <item x="91"/>
        <item x="118"/>
        <item x="62"/>
        <item x="121"/>
        <item x="166"/>
        <item x="117"/>
        <item x="67"/>
        <item x="14"/>
        <item x="112"/>
        <item x="79"/>
        <item x="96"/>
        <item x="9"/>
        <item x="70"/>
        <item x="168"/>
        <item x="102"/>
        <item x="122"/>
        <item x="147"/>
        <item x="155"/>
        <item x="160"/>
        <item x="64"/>
        <item x="156"/>
        <item x="181"/>
        <item x="170"/>
        <item x="11"/>
        <item x="61"/>
        <item x="106"/>
        <item x="52"/>
        <item x="137"/>
        <item x="154"/>
        <item x="120"/>
        <item x="46"/>
        <item x="1"/>
        <item x="76"/>
        <item x="140"/>
        <item x="95"/>
        <item x="81"/>
        <item x="53"/>
        <item x="31"/>
        <item x="177"/>
        <item x="19"/>
        <item x="141"/>
        <item x="116"/>
        <item x="176"/>
        <item x="21"/>
        <item x="89"/>
        <item x="138"/>
        <item x="73"/>
        <item x="30"/>
        <item x="149"/>
        <item x="114"/>
        <item x="115"/>
        <item x="128"/>
        <item x="55"/>
        <item x="130"/>
        <item x="49"/>
        <item x="34"/>
        <item x="12"/>
        <item x="47"/>
        <item x="113"/>
        <item x="171"/>
        <item x="132"/>
        <item x="161"/>
        <item x="54"/>
        <item x="28"/>
        <item x="71"/>
        <item x="83"/>
        <item x="157"/>
        <item x="143"/>
        <item x="109"/>
        <item x="169"/>
        <item x="108"/>
        <item x="182"/>
        <item x="82"/>
        <item x="127"/>
        <item x="124"/>
        <item x="33"/>
        <item x="105"/>
        <item x="36"/>
        <item x="84"/>
        <item x="98"/>
        <item x="51"/>
        <item x="104"/>
        <item x="146"/>
        <item x="85"/>
        <item x="66"/>
        <item x="3"/>
        <item x="8"/>
        <item x="39"/>
        <item x="23"/>
        <item x="97"/>
        <item x="87"/>
        <item x="25"/>
        <item x="165"/>
        <item x="126"/>
        <item x="133"/>
        <item x="37"/>
        <item x="172"/>
        <item x="7"/>
        <item x="15"/>
        <item x="92"/>
        <item x="17"/>
        <item x="4"/>
        <item x="56"/>
        <item x="29"/>
        <item x="18"/>
        <item x="5"/>
        <item x="57"/>
        <item x="59"/>
        <item x="24"/>
        <item x="131"/>
        <item x="107"/>
        <item x="152"/>
        <item x="44"/>
        <item x="38"/>
        <item x="144"/>
        <item x="78"/>
        <item x="162"/>
        <item x="94"/>
        <item x="175"/>
        <item x="125"/>
        <item x="50"/>
        <item x="180"/>
        <item x="111"/>
        <item x="150"/>
        <item x="48"/>
        <item x="22"/>
        <item x="178"/>
        <item x="86"/>
        <item x="27"/>
        <item x="119"/>
        <item x="80"/>
        <item x="93"/>
        <item x="40"/>
        <item x="135"/>
        <item x="6"/>
        <item x="77"/>
        <item x="123"/>
        <item x="43"/>
        <item x="42"/>
        <item x="173"/>
        <item x="26"/>
        <item x="35"/>
        <item x="110"/>
        <item x="136"/>
        <item x="142"/>
        <item x="0"/>
        <item x="16"/>
        <item x="129"/>
        <item x="68"/>
        <item x="10"/>
        <item x="75"/>
        <item x="60"/>
        <item x="74"/>
        <item x="159"/>
        <item x="90"/>
        <item x="101"/>
        <item x="65"/>
        <item x="153"/>
        <item x="72"/>
        <item x="158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2"/>
        <item x="1"/>
        <item x="5"/>
        <item x="4"/>
        <item x="3"/>
        <item x="0"/>
        <item t="default"/>
      </items>
    </pivotField>
    <pivotField showAll="0">
      <items count="34">
        <item x="31"/>
        <item x="30"/>
        <item x="27"/>
        <item x="15"/>
        <item x="8"/>
        <item x="11"/>
        <item x="0"/>
        <item x="5"/>
        <item x="3"/>
        <item x="1"/>
        <item x="16"/>
        <item x="6"/>
        <item x="23"/>
        <item x="20"/>
        <item x="21"/>
        <item x="18"/>
        <item x="10"/>
        <item x="25"/>
        <item x="4"/>
        <item x="19"/>
        <item x="9"/>
        <item x="2"/>
        <item x="26"/>
        <item x="7"/>
        <item x="14"/>
        <item x="29"/>
        <item x="12"/>
        <item x="22"/>
        <item x="13"/>
        <item x="17"/>
        <item x="32"/>
        <item x="24"/>
        <item x="28"/>
        <item t="default"/>
      </items>
    </pivotField>
    <pivotField showAll="0">
      <items count="166">
        <item x="159"/>
        <item x="24"/>
        <item x="76"/>
        <item x="32"/>
        <item x="130"/>
        <item x="102"/>
        <item x="116"/>
        <item x="151"/>
        <item x="40"/>
        <item x="142"/>
        <item x="2"/>
        <item x="114"/>
        <item x="147"/>
        <item x="44"/>
        <item x="101"/>
        <item x="46"/>
        <item x="152"/>
        <item x="38"/>
        <item x="105"/>
        <item x="31"/>
        <item x="150"/>
        <item x="73"/>
        <item x="39"/>
        <item x="5"/>
        <item x="78"/>
        <item x="62"/>
        <item x="104"/>
        <item x="96"/>
        <item x="47"/>
        <item x="145"/>
        <item x="71"/>
        <item x="126"/>
        <item x="30"/>
        <item x="123"/>
        <item x="91"/>
        <item x="55"/>
        <item x="119"/>
        <item x="77"/>
        <item x="93"/>
        <item x="28"/>
        <item x="54"/>
        <item x="53"/>
        <item x="22"/>
        <item x="9"/>
        <item x="92"/>
        <item x="11"/>
        <item x="141"/>
        <item x="57"/>
        <item x="58"/>
        <item x="13"/>
        <item x="17"/>
        <item x="69"/>
        <item x="113"/>
        <item x="164"/>
        <item x="125"/>
        <item x="19"/>
        <item x="86"/>
        <item x="70"/>
        <item x="107"/>
        <item x="154"/>
        <item x="99"/>
        <item x="115"/>
        <item x="108"/>
        <item x="45"/>
        <item x="98"/>
        <item x="0"/>
        <item x="51"/>
        <item x="109"/>
        <item x="121"/>
        <item x="68"/>
        <item x="80"/>
        <item x="43"/>
        <item x="103"/>
        <item x="90"/>
        <item x="153"/>
        <item x="135"/>
        <item x="106"/>
        <item x="133"/>
        <item x="18"/>
        <item x="120"/>
        <item x="118"/>
        <item x="20"/>
        <item x="49"/>
        <item x="158"/>
        <item x="3"/>
        <item x="124"/>
        <item x="112"/>
        <item x="149"/>
        <item x="33"/>
        <item x="4"/>
        <item x="162"/>
        <item x="140"/>
        <item x="74"/>
        <item x="129"/>
        <item x="157"/>
        <item x="42"/>
        <item x="14"/>
        <item x="41"/>
        <item x="138"/>
        <item x="82"/>
        <item x="56"/>
        <item x="25"/>
        <item x="26"/>
        <item x="97"/>
        <item x="139"/>
        <item x="143"/>
        <item x="83"/>
        <item x="89"/>
        <item x="95"/>
        <item x="6"/>
        <item x="144"/>
        <item x="16"/>
        <item x="163"/>
        <item x="8"/>
        <item x="155"/>
        <item x="131"/>
        <item x="136"/>
        <item x="111"/>
        <item x="1"/>
        <item x="127"/>
        <item x="34"/>
        <item x="15"/>
        <item x="65"/>
        <item x="87"/>
        <item x="110"/>
        <item x="85"/>
        <item x="156"/>
        <item x="132"/>
        <item x="59"/>
        <item x="63"/>
        <item x="61"/>
        <item x="100"/>
        <item x="128"/>
        <item x="75"/>
        <item x="27"/>
        <item x="79"/>
        <item x="67"/>
        <item x="160"/>
        <item x="117"/>
        <item x="161"/>
        <item x="94"/>
        <item x="37"/>
        <item x="52"/>
        <item x="134"/>
        <item x="23"/>
        <item x="29"/>
        <item x="148"/>
        <item x="72"/>
        <item x="146"/>
        <item x="64"/>
        <item x="50"/>
        <item x="137"/>
        <item x="7"/>
        <item x="60"/>
        <item x="10"/>
        <item x="36"/>
        <item x="21"/>
        <item x="84"/>
        <item x="35"/>
        <item x="88"/>
        <item x="48"/>
        <item x="122"/>
        <item x="81"/>
        <item x="12"/>
        <item x="66"/>
        <item t="default"/>
      </items>
    </pivotField>
    <pivotField dataField="1" showAll="0"/>
    <pivotField showAll="0">
      <items count="13">
        <item x="0"/>
        <item x="1"/>
        <item x="3"/>
        <item x="6"/>
        <item x="7"/>
        <item x="11"/>
        <item x="5"/>
        <item x="9"/>
        <item x="2"/>
        <item x="8"/>
        <item x="10"/>
        <item x="4"/>
        <item t="default"/>
      </items>
    </pivotField>
    <pivotField showAll="0"/>
    <pivotField showAll="0"/>
    <pivotField showAll="0"/>
    <pivotField showAll="0"/>
  </pivotFields>
  <rowFields count="1">
    <field x="8"/>
  </rowFields>
  <rowItems count="6">
    <i>
      <x v="119"/>
    </i>
    <i>
      <x v="162"/>
    </i>
    <i>
      <x v="64"/>
    </i>
    <i>
      <x v="142"/>
    </i>
    <i>
      <x v="145"/>
    </i>
    <i t="grand">
      <x/>
    </i>
  </rowItems>
  <colItems count="1">
    <i/>
  </colItems>
  <dataFields count="1">
    <dataField name="Sum of Sales" fld="12" baseField="0" baseItem="0" numFmtId="164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A0787-BF3F-4D7D-82CF-29EC20FE4396}" name="PivotTable11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 rowHeaderCaption="Year">
  <location ref="G3:H6" firstHeaderRow="1" firstDataRow="1" firstDataCol="1"/>
  <pivotFields count="18"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 measureFilter="1">
      <items count="184">
        <item x="45"/>
        <item x="99"/>
        <item x="2"/>
        <item x="63"/>
        <item x="20"/>
        <item x="139"/>
        <item x="148"/>
        <item x="69"/>
        <item x="179"/>
        <item x="134"/>
        <item x="103"/>
        <item x="100"/>
        <item x="88"/>
        <item x="41"/>
        <item x="13"/>
        <item x="164"/>
        <item x="145"/>
        <item x="174"/>
        <item x="163"/>
        <item x="151"/>
        <item x="32"/>
        <item x="58"/>
        <item x="91"/>
        <item x="118"/>
        <item x="62"/>
        <item x="121"/>
        <item x="166"/>
        <item x="117"/>
        <item x="67"/>
        <item x="14"/>
        <item x="112"/>
        <item x="79"/>
        <item x="96"/>
        <item x="9"/>
        <item x="70"/>
        <item x="168"/>
        <item x="102"/>
        <item x="122"/>
        <item x="147"/>
        <item x="155"/>
        <item x="160"/>
        <item x="64"/>
        <item x="156"/>
        <item x="181"/>
        <item x="170"/>
        <item x="11"/>
        <item x="61"/>
        <item x="106"/>
        <item x="52"/>
        <item x="137"/>
        <item x="154"/>
        <item x="120"/>
        <item x="46"/>
        <item x="1"/>
        <item x="76"/>
        <item x="140"/>
        <item x="95"/>
        <item x="81"/>
        <item x="53"/>
        <item x="31"/>
        <item x="177"/>
        <item x="19"/>
        <item x="141"/>
        <item x="116"/>
        <item x="176"/>
        <item x="21"/>
        <item x="89"/>
        <item x="138"/>
        <item x="73"/>
        <item x="30"/>
        <item x="149"/>
        <item x="114"/>
        <item x="115"/>
        <item x="128"/>
        <item x="55"/>
        <item x="130"/>
        <item x="49"/>
        <item x="34"/>
        <item x="12"/>
        <item x="47"/>
        <item x="113"/>
        <item x="171"/>
        <item x="132"/>
        <item x="161"/>
        <item x="54"/>
        <item x="28"/>
        <item x="71"/>
        <item x="83"/>
        <item x="157"/>
        <item x="143"/>
        <item x="109"/>
        <item x="169"/>
        <item x="108"/>
        <item x="182"/>
        <item x="82"/>
        <item x="127"/>
        <item x="124"/>
        <item x="33"/>
        <item x="105"/>
        <item x="36"/>
        <item x="84"/>
        <item x="98"/>
        <item x="51"/>
        <item x="104"/>
        <item x="146"/>
        <item x="85"/>
        <item x="66"/>
        <item x="3"/>
        <item x="8"/>
        <item x="39"/>
        <item x="23"/>
        <item x="97"/>
        <item x="87"/>
        <item x="25"/>
        <item x="165"/>
        <item x="126"/>
        <item x="133"/>
        <item x="37"/>
        <item x="172"/>
        <item x="7"/>
        <item x="15"/>
        <item x="92"/>
        <item x="17"/>
        <item x="4"/>
        <item x="56"/>
        <item x="29"/>
        <item x="18"/>
        <item x="5"/>
        <item x="57"/>
        <item x="59"/>
        <item x="24"/>
        <item x="131"/>
        <item x="107"/>
        <item x="152"/>
        <item x="44"/>
        <item x="38"/>
        <item x="144"/>
        <item x="78"/>
        <item x="162"/>
        <item x="94"/>
        <item x="175"/>
        <item x="125"/>
        <item x="50"/>
        <item x="180"/>
        <item x="111"/>
        <item x="150"/>
        <item x="48"/>
        <item x="22"/>
        <item x="178"/>
        <item x="86"/>
        <item x="27"/>
        <item x="119"/>
        <item x="80"/>
        <item x="93"/>
        <item x="40"/>
        <item x="135"/>
        <item x="6"/>
        <item x="77"/>
        <item x="123"/>
        <item x="43"/>
        <item x="42"/>
        <item x="173"/>
        <item x="26"/>
        <item x="35"/>
        <item x="110"/>
        <item x="136"/>
        <item x="142"/>
        <item x="0"/>
        <item x="16"/>
        <item x="129"/>
        <item x="68"/>
        <item x="10"/>
        <item x="75"/>
        <item x="60"/>
        <item x="74"/>
        <item x="159"/>
        <item x="90"/>
        <item x="101"/>
        <item x="65"/>
        <item x="153"/>
        <item x="72"/>
        <item x="158"/>
        <item x="167"/>
        <item t="default"/>
      </items>
    </pivotField>
    <pivotField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Sum of Sales" fld="12" baseField="0" baseItem="0" numFmtId="164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D207D62-2257-4EF3-A06B-8C7D7D43890C}" autoFormatId="16" applyNumberFormats="0" applyBorderFormats="0" applyFontFormats="0" applyPatternFormats="0" applyAlignmentFormats="0" applyWidthHeightFormats="0">
  <queryTableRefresh nextId="20">
    <queryTableFields count="18">
      <queryTableField id="1" name="Distributor" tableColumnId="1"/>
      <queryTableField id="2" name="Customer Name" tableColumnId="2"/>
      <queryTableField id="3" name="City" tableColumnId="3"/>
      <queryTableField id="4" name="Country" tableColumnId="4"/>
      <queryTableField id="5" name="Latitude" tableColumnId="5"/>
      <queryTableField id="6" name="Longitude" tableColumnId="6"/>
      <queryTableField id="7" name="Channel" tableColumnId="7"/>
      <queryTableField id="8" name="Sub-channel" tableColumnId="8"/>
      <queryTableField id="9" name="Product Name" tableColumnId="9"/>
      <queryTableField id="10" name="Product Class" tableColumnId="10"/>
      <queryTableField id="11" name="Quantity" tableColumnId="11"/>
      <queryTableField id="12" name="Price" tableColumnId="12"/>
      <queryTableField id="13" name="Sales" tableColumnId="13"/>
      <queryTableField id="14" name="Month" tableColumnId="14"/>
      <queryTableField id="15" name="Year" tableColumnId="15"/>
      <queryTableField id="16" name="Name of Sales Rep" tableColumnId="16"/>
      <queryTableField id="17" name="Manager" tableColumnId="17"/>
      <queryTableField id="18" name="Sales Team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103598-8F50-4917-94BE-9164D664A016}" autoFormatId="16" applyNumberFormats="0" applyBorderFormats="0" applyFontFormats="0" applyPatternFormats="0" applyAlignmentFormats="0" applyWidthHeightFormats="0">
  <queryTableRefresh nextId="20">
    <queryTableFields count="18">
      <queryTableField id="1" name="Distributor" tableColumnId="1"/>
      <queryTableField id="2" name="Customer Name" tableColumnId="2"/>
      <queryTableField id="19" dataBound="0" tableColumnId="19"/>
      <queryTableField id="4" name="Country" tableColumnId="4"/>
      <queryTableField id="5" name="Latitude" tableColumnId="5"/>
      <queryTableField id="6" name="Longitude" tableColumnId="6"/>
      <queryTableField id="7" name="Channel" tableColumnId="7"/>
      <queryTableField id="8" name="Sub-channel" tableColumnId="8"/>
      <queryTableField id="9" name="Product Name" tableColumnId="9"/>
      <queryTableField id="10" name="Product Class" tableColumnId="10"/>
      <queryTableField id="11" name="Quantity" tableColumnId="11"/>
      <queryTableField id="12" name="Price" tableColumnId="12"/>
      <queryTableField id="13" name="Sales" tableColumnId="13"/>
      <queryTableField id="14" name="Month" tableColumnId="14"/>
      <queryTableField id="15" name="Year" tableColumnId="15"/>
      <queryTableField id="16" name="Name of Sales Rep" tableColumnId="16"/>
      <queryTableField id="17" name="Manager" tableColumnId="17"/>
      <queryTableField id="18" name="Sales Team" tableColumnId="18"/>
    </queryTableFields>
    <queryTableDeletedFields count="1">
      <deletedField name="Cit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425FB5-738D-42AF-8A37-CF21169B4AA5}" name="Sheet1__2" displayName="Sheet1__2" ref="A1:R338" tableType="queryTable" totalsRowCount="1">
  <autoFilter ref="A1:R337" xr:uid="{B4425FB5-738D-42AF-8A37-CF21169B4AA5}"/>
  <tableColumns count="18">
    <tableColumn id="1" xr3:uid="{C061E4A1-C6EA-465D-8465-996247630AD1}" uniqueName="1" name="Distributor" queryTableFieldId="1" dataDxfId="26" totalsRowDxfId="14"/>
    <tableColumn id="2" xr3:uid="{63385D39-0FED-4F63-A6F2-104F3042AC2A}" uniqueName="2" name="Customer Name" queryTableFieldId="2" dataDxfId="25" totalsRowDxfId="13"/>
    <tableColumn id="3" xr3:uid="{85579356-3F96-4C72-9D87-0851B2E66073}" uniqueName="3" name="City" queryTableFieldId="3" dataDxfId="24" totalsRowDxfId="12"/>
    <tableColumn id="4" xr3:uid="{6CD8FA52-734C-4557-99E3-66BB946E539B}" uniqueName="4" name="Country" queryTableFieldId="4" dataDxfId="23" totalsRowDxfId="11"/>
    <tableColumn id="5" xr3:uid="{86D9A0D6-300B-4688-ADEF-5EA035B1C519}" uniqueName="5" name="Latitude" queryTableFieldId="5"/>
    <tableColumn id="6" xr3:uid="{697E0668-E11B-4374-8423-77A07BCEA472}" uniqueName="6" name="Longitude" queryTableFieldId="6"/>
    <tableColumn id="7" xr3:uid="{8C306275-851C-4F6E-8B72-ACA12F748842}" uniqueName="7" name="Channel" queryTableFieldId="7" dataDxfId="22" totalsRowDxfId="10"/>
    <tableColumn id="8" xr3:uid="{6A30679F-EF9F-4648-9A6B-B328495E1CA6}" uniqueName="8" name="Sub-channel" queryTableFieldId="8" dataDxfId="21" totalsRowDxfId="9"/>
    <tableColumn id="9" xr3:uid="{605A148B-0B18-4206-86D4-72A6FE0AEA9B}" uniqueName="9" name="Product Name" queryTableFieldId="9" dataDxfId="20" totalsRowDxfId="8"/>
    <tableColumn id="10" xr3:uid="{12641C5E-A5B8-4C11-8365-0EC8726CD00D}" uniqueName="10" name="Product Class" queryTableFieldId="10" dataDxfId="19" totalsRowDxfId="7"/>
    <tableColumn id="11" xr3:uid="{E5268077-B40C-469B-A306-88405125524A}" uniqueName="11" name="Quantity" queryTableFieldId="11"/>
    <tableColumn id="12" xr3:uid="{B6FB2DAD-4BD0-4DFF-8F18-EFCFB66C2C22}" uniqueName="12" name="Price" queryTableFieldId="12"/>
    <tableColumn id="13" xr3:uid="{9215B027-1BB1-4EAF-875D-35A98A4C7C18}" uniqueName="13" name="Sales" queryTableFieldId="13"/>
    <tableColumn id="14" xr3:uid="{195781AD-206E-4FAF-AB3B-6E3AEB82B550}" uniqueName="14" name="Month" queryTableFieldId="14" dataDxfId="18" totalsRowDxfId="6"/>
    <tableColumn id="15" xr3:uid="{8E73A621-7EC5-4449-B41A-5BE02A4FCE24}" uniqueName="15" name="Year" queryTableFieldId="15"/>
    <tableColumn id="16" xr3:uid="{429DA183-1041-4DBD-AA49-86BB36845DC0}" uniqueName="16" name="Name of Sales Rep" queryTableFieldId="16" dataDxfId="17" totalsRowDxfId="5"/>
    <tableColumn id="17" xr3:uid="{E9C55EBE-3BE0-4737-ACE7-7A9897B217D5}" uniqueName="17" name="Manager" queryTableFieldId="17" dataDxfId="16" totalsRowDxfId="4"/>
    <tableColumn id="18" xr3:uid="{9B529F78-D882-44EF-9F98-79D211C13701}" uniqueName="18" name="Sales Team" queryTableFieldId="18" dataDxfId="15" totalsRow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4828BF-0B19-4563-99EA-B9E234EDDB63}" name="Sheet1" displayName="Sheet1" ref="A1:R337" tableType="queryTable" totalsRowShown="0">
  <autoFilter ref="A1:R337" xr:uid="{134828BF-0B19-4563-99EA-B9E234EDDB63}"/>
  <tableColumns count="18">
    <tableColumn id="1" xr3:uid="{7328F058-295E-4B80-A5D1-4CE79981DB3A}" uniqueName="1" name="Distributor" queryTableFieldId="1"/>
    <tableColumn id="2" xr3:uid="{15EDF8C4-DE3D-4848-83A7-EFF2A4FAA93A}" uniqueName="2" name="Customer Name" queryTableFieldId="2"/>
    <tableColumn id="19" xr3:uid="{87A43352-8394-4F81-A5C5-6CB6A50094F6}" uniqueName="19" name="City" queryTableFieldId="19"/>
    <tableColumn id="4" xr3:uid="{B7F3E13F-3B10-4042-9F44-69710CEDD2B4}" uniqueName="4" name="Country" queryTableFieldId="4" dataDxfId="28"/>
    <tableColumn id="5" xr3:uid="{525784E9-CBB5-4C0A-A0B4-DD07EA0CAFB3}" uniqueName="5" name="Latitude" queryTableFieldId="5"/>
    <tableColumn id="6" xr3:uid="{B789D4F2-28F9-4DFA-A158-3239CE1B76B3}" uniqueName="6" name="Longitude" queryTableFieldId="6"/>
    <tableColumn id="7" xr3:uid="{CCAA6285-0368-4B51-A87D-C00C3D446EC2}" uniqueName="7" name="Channel" queryTableFieldId="7"/>
    <tableColumn id="8" xr3:uid="{74921B21-C333-485B-8E5C-FCC445C95DBD}" uniqueName="8" name="Sub-channel" queryTableFieldId="8"/>
    <tableColumn id="9" xr3:uid="{12FC1DD3-06C8-484D-A5F4-C86E5BEC1BD7}" uniqueName="9" name="Product Name" queryTableFieldId="9"/>
    <tableColumn id="10" xr3:uid="{539E7DB7-D9D0-4BB8-B6A8-3159F78D6C6A}" uniqueName="10" name="Product Class" queryTableFieldId="10"/>
    <tableColumn id="11" xr3:uid="{8A794E4B-0E37-4864-8447-EDFACA95F3F9}" uniqueName="11" name="Quantity" queryTableFieldId="11"/>
    <tableColumn id="12" xr3:uid="{221C5D22-ED4D-4609-9FB1-5741007B21F3}" uniqueName="12" name="Price" queryTableFieldId="12"/>
    <tableColumn id="13" xr3:uid="{1820B1F4-7C90-4FC1-916C-2124E0386FC6}" uniqueName="13" name="Sales" queryTableFieldId="13"/>
    <tableColumn id="14" xr3:uid="{E7452931-4B1D-4AE8-AC4C-39329C75E156}" uniqueName="14" name="Month" queryTableFieldId="14" dataDxfId="27"/>
    <tableColumn id="15" xr3:uid="{23278652-E3D8-4AE6-BFF2-A6B66C2E26C3}" uniqueName="15" name="Year" queryTableFieldId="15"/>
    <tableColumn id="16" xr3:uid="{329D249D-8EA5-452C-9C75-B25665F7168A}" uniqueName="16" name="Name of Sales Rep" queryTableFieldId="16"/>
    <tableColumn id="17" xr3:uid="{B93948FC-C661-436C-AA70-D358B13EEEB0}" uniqueName="17" name="Manager" queryTableFieldId="17"/>
    <tableColumn id="18" xr3:uid="{A6B653D2-18A8-4259-AEDE-94FD2EBBF7D3}" uniqueName="18" name="Sales Team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9C56-94D6-42E2-9B90-E07716A436C6}">
  <dimension ref="A2:DS206"/>
  <sheetViews>
    <sheetView showGridLines="0" showRowColHeaders="0" zoomScale="17" zoomScaleNormal="17" workbookViewId="0">
      <selection activeCell="CC72" sqref="CC72"/>
    </sheetView>
  </sheetViews>
  <sheetFormatPr defaultRowHeight="15" x14ac:dyDescent="0.25"/>
  <sheetData>
    <row r="2" spans="1:1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</row>
    <row r="6" spans="1:12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</row>
    <row r="7" spans="1:12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</row>
    <row r="8" spans="1:12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</row>
    <row r="9" spans="1:12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</row>
    <row r="10" spans="1:12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</row>
    <row r="11" spans="1:12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</row>
    <row r="12" spans="1:12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</row>
    <row r="13" spans="1:12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</row>
    <row r="14" spans="1:12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</row>
    <row r="15" spans="1:12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</row>
    <row r="16" spans="1:12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</row>
    <row r="17" spans="1:12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</row>
    <row r="18" spans="1:12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</row>
    <row r="19" spans="1:12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</row>
    <row r="20" spans="1:12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</row>
    <row r="21" spans="1:12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</row>
    <row r="22" spans="1:12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</row>
    <row r="23" spans="1:12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</row>
    <row r="24" spans="1:12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</row>
    <row r="25" spans="1:12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</row>
    <row r="26" spans="1:12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</row>
    <row r="27" spans="1:12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</row>
    <row r="28" spans="1:12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</row>
    <row r="29" spans="1:12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</row>
    <row r="30" spans="1:12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</row>
    <row r="31" spans="1:12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</row>
    <row r="32" spans="1:12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</row>
    <row r="33" spans="1:12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</row>
    <row r="34" spans="1:12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</row>
    <row r="35" spans="1:12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</row>
    <row r="36" spans="1:12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</row>
    <row r="37" spans="1:12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</row>
    <row r="38" spans="1:12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</row>
    <row r="39" spans="1:12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</row>
    <row r="40" spans="1:12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</row>
    <row r="41" spans="1:12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</row>
    <row r="42" spans="1:12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</row>
    <row r="43" spans="1:12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</row>
    <row r="44" spans="1:12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</row>
    <row r="45" spans="1:12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</row>
    <row r="46" spans="1:12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</row>
    <row r="47" spans="1:12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</row>
    <row r="48" spans="1:12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</row>
    <row r="49" spans="1:12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</row>
    <row r="50" spans="1:12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</row>
    <row r="51" spans="1:12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</row>
    <row r="52" spans="1:123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</row>
    <row r="53" spans="1:123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</row>
    <row r="54" spans="1:123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</row>
    <row r="55" spans="1:123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7">
        <f>'Pivot Table'!A54</f>
        <v>1711583</v>
      </c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4"/>
      <c r="DR55" s="4"/>
      <c r="DS55" s="4"/>
    </row>
    <row r="56" spans="1:123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4"/>
      <c r="DR56" s="4"/>
      <c r="DS56" s="4"/>
    </row>
    <row r="57" spans="1:123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4"/>
      <c r="DR57" s="4"/>
      <c r="DS57" s="4"/>
    </row>
    <row r="58" spans="1:123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4"/>
      <c r="DR58" s="4"/>
      <c r="DS58" s="4"/>
    </row>
    <row r="59" spans="1:123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4"/>
      <c r="DR59" s="4"/>
      <c r="DS59" s="4"/>
    </row>
    <row r="60" spans="1:123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4"/>
      <c r="DR60" s="4"/>
      <c r="DS60" s="4"/>
    </row>
    <row r="61" spans="1:123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4"/>
      <c r="DR61" s="4"/>
      <c r="DS61" s="4"/>
    </row>
    <row r="62" spans="1:12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4"/>
      <c r="DR62" s="4"/>
      <c r="DS62" s="4"/>
    </row>
    <row r="63" spans="1:123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4"/>
      <c r="DR63" s="4"/>
      <c r="DS63" s="4"/>
    </row>
    <row r="64" spans="1:123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4"/>
      <c r="DR64" s="4"/>
      <c r="DS64" s="4"/>
    </row>
    <row r="65" spans="1:123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4"/>
      <c r="DR65" s="4"/>
      <c r="DS65" s="4"/>
    </row>
    <row r="66" spans="1:123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4"/>
      <c r="DR66" s="4"/>
      <c r="DS66" s="4"/>
    </row>
    <row r="67" spans="1:123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4"/>
      <c r="DR67" s="4"/>
      <c r="DS67" s="4"/>
    </row>
    <row r="68" spans="1:123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4"/>
      <c r="DR68" s="4"/>
      <c r="DS68" s="4"/>
    </row>
    <row r="69" spans="1:123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4"/>
      <c r="DR69" s="4"/>
      <c r="DS69" s="4"/>
    </row>
    <row r="70" spans="1:123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4"/>
      <c r="DR70" s="4"/>
      <c r="DS70" s="4"/>
    </row>
    <row r="71" spans="1:123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4"/>
      <c r="DR71" s="4"/>
      <c r="DS71" s="4"/>
    </row>
    <row r="72" spans="1:123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4"/>
      <c r="DR72" s="4"/>
      <c r="DS72" s="4"/>
    </row>
    <row r="73" spans="1:123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4"/>
      <c r="DR73" s="4"/>
      <c r="DS73" s="4"/>
    </row>
    <row r="74" spans="1:123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4"/>
      <c r="DR74" s="4"/>
      <c r="DS74" s="4"/>
    </row>
    <row r="75" spans="1:123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4"/>
      <c r="DR75" s="4"/>
      <c r="DS75" s="4"/>
    </row>
    <row r="76" spans="1:123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4"/>
      <c r="DR76" s="4"/>
      <c r="DS76" s="4"/>
    </row>
    <row r="77" spans="1:123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</row>
    <row r="78" spans="1:123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</row>
    <row r="79" spans="1:123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</row>
    <row r="80" spans="1:123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</row>
    <row r="81" spans="1:123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</row>
    <row r="82" spans="1:123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</row>
    <row r="83" spans="1:123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</row>
    <row r="84" spans="1:123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</row>
    <row r="85" spans="1:123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</row>
    <row r="86" spans="1:123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</row>
    <row r="87" spans="1:123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</row>
    <row r="88" spans="1:123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</row>
    <row r="89" spans="1:123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</row>
    <row r="90" spans="1:123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</row>
    <row r="91" spans="1:123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</row>
    <row r="92" spans="1:123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</row>
    <row r="93" spans="1:123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</row>
    <row r="94" spans="1:123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</row>
    <row r="95" spans="1:123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</row>
    <row r="96" spans="1:123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</row>
    <row r="97" spans="1:123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</row>
    <row r="98" spans="1:123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</row>
    <row r="99" spans="1:123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</row>
    <row r="100" spans="1:123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</row>
    <row r="101" spans="1:123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</row>
    <row r="102" spans="1:123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</row>
    <row r="103" spans="1:123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</row>
    <row r="104" spans="1:123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</row>
    <row r="105" spans="1:123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</row>
    <row r="106" spans="1:123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</row>
    <row r="107" spans="1:123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</row>
    <row r="108" spans="1:123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</row>
    <row r="109" spans="1:123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</row>
    <row r="110" spans="1:123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</row>
    <row r="111" spans="1:123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</row>
    <row r="112" spans="1:123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</row>
    <row r="113" spans="1:123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</row>
    <row r="114" spans="1:123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</row>
    <row r="115" spans="1:123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</row>
    <row r="116" spans="1:123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</row>
    <row r="117" spans="1:123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</row>
    <row r="118" spans="1:123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</row>
    <row r="119" spans="1:123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</row>
    <row r="120" spans="1:123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</row>
    <row r="121" spans="1:123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</row>
    <row r="122" spans="1:123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</row>
    <row r="123" spans="1:123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</row>
    <row r="124" spans="1:123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</row>
    <row r="125" spans="1:123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</row>
    <row r="126" spans="1:123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</row>
    <row r="127" spans="1:123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</row>
    <row r="128" spans="1:123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</row>
    <row r="129" spans="1:123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</row>
    <row r="130" spans="1:123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</row>
    <row r="131" spans="1:123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</row>
    <row r="132" spans="1:123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</row>
    <row r="133" spans="1:123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</row>
    <row r="134" spans="1:123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</row>
    <row r="135" spans="1:123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</row>
    <row r="136" spans="1:123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</row>
    <row r="137" spans="1:123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</row>
    <row r="138" spans="1:123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</row>
    <row r="139" spans="1:123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</row>
    <row r="140" spans="1:123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</row>
    <row r="141" spans="1:123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</row>
    <row r="142" spans="1:123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</row>
    <row r="143" spans="1:123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</row>
    <row r="144" spans="1:123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</row>
    <row r="145" spans="1:123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</row>
    <row r="146" spans="1:123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</row>
    <row r="147" spans="1:123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</row>
    <row r="148" spans="1:123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</row>
    <row r="149" spans="1:123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</row>
    <row r="150" spans="1:123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</row>
    <row r="151" spans="1:123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</row>
    <row r="152" spans="1:123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</row>
    <row r="153" spans="1:123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</row>
    <row r="154" spans="1:123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</row>
    <row r="155" spans="1:123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</row>
    <row r="156" spans="1:123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</row>
    <row r="157" spans="1:123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</row>
    <row r="158" spans="1:123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</row>
    <row r="159" spans="1:123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</row>
    <row r="160" spans="1:123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</row>
    <row r="161" spans="1:123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</row>
    <row r="162" spans="1:123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</row>
    <row r="163" spans="1:123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</row>
    <row r="164" spans="1:123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</row>
    <row r="165" spans="1:123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</row>
    <row r="166" spans="1:123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</row>
    <row r="167" spans="1:123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</row>
    <row r="168" spans="1:123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</row>
    <row r="169" spans="1:123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</row>
    <row r="170" spans="1:123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</row>
    <row r="171" spans="1:123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</row>
    <row r="172" spans="1:123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</row>
    <row r="173" spans="1:123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</row>
    <row r="174" spans="1:123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</row>
    <row r="175" spans="1:123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</row>
    <row r="176" spans="1:123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</row>
    <row r="177" spans="1:123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</row>
    <row r="178" spans="1:123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</row>
    <row r="179" spans="1:123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</row>
    <row r="180" spans="1:123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</row>
    <row r="181" spans="1:123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</row>
    <row r="182" spans="1:123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</row>
    <row r="183" spans="1:123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</row>
    <row r="184" spans="1:123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</row>
    <row r="185" spans="1:123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</row>
    <row r="186" spans="1:123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</row>
    <row r="187" spans="1:123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</row>
    <row r="188" spans="1:123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</row>
    <row r="189" spans="1:123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</row>
    <row r="190" spans="1:123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</row>
    <row r="191" spans="1:123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</row>
    <row r="192" spans="1:123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</row>
    <row r="193" spans="1:123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</row>
    <row r="194" spans="1:123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</row>
    <row r="195" spans="1:123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</row>
    <row r="196" spans="1:123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</row>
    <row r="197" spans="1:123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</row>
    <row r="198" spans="1:123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</row>
    <row r="199" spans="1:123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</row>
    <row r="200" spans="1:123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</row>
    <row r="201" spans="1:123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</row>
    <row r="202" spans="1:123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</row>
    <row r="203" spans="1:123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</row>
    <row r="204" spans="1:123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</row>
    <row r="205" spans="1:123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</row>
    <row r="206" spans="1:123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</row>
  </sheetData>
  <mergeCells count="1">
    <mergeCell ref="CZ55:DP7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F6FE-E1CA-411C-A99F-3DB9017A3A4B}">
  <dimension ref="A3:K54"/>
  <sheetViews>
    <sheetView workbookViewId="0">
      <selection activeCell="A20" sqref="A20"/>
    </sheetView>
  </sheetViews>
  <sheetFormatPr defaultRowHeight="15" x14ac:dyDescent="0.25"/>
  <cols>
    <col min="1" max="1" width="24.28515625" bestFit="1" customWidth="1"/>
    <col min="2" max="3" width="12.140625" bestFit="1" customWidth="1"/>
    <col min="4" max="4" width="24.28515625" bestFit="1" customWidth="1"/>
    <col min="5" max="5" width="15.140625" customWidth="1"/>
    <col min="7" max="7" width="22.42578125" customWidth="1"/>
    <col min="8" max="8" width="18.5703125" customWidth="1"/>
    <col min="10" max="10" width="16" bestFit="1" customWidth="1"/>
    <col min="11" max="12" width="12.7109375" bestFit="1" customWidth="1"/>
    <col min="13" max="14" width="12" bestFit="1" customWidth="1"/>
    <col min="15" max="15" width="15.42578125" bestFit="1" customWidth="1"/>
    <col min="16" max="16" width="12.140625" bestFit="1" customWidth="1"/>
    <col min="17" max="17" width="15.42578125" bestFit="1" customWidth="1"/>
    <col min="18" max="18" width="12.140625" bestFit="1" customWidth="1"/>
    <col min="19" max="19" width="15.42578125" bestFit="1" customWidth="1"/>
    <col min="20" max="20" width="12.140625" bestFit="1" customWidth="1"/>
    <col min="21" max="21" width="15.42578125" bestFit="1" customWidth="1"/>
    <col min="22" max="22" width="12.140625" bestFit="1" customWidth="1"/>
    <col min="23" max="23" width="15.42578125" bestFit="1" customWidth="1"/>
    <col min="24" max="24" width="12.140625" bestFit="1" customWidth="1"/>
    <col min="25" max="25" width="15.42578125" bestFit="1" customWidth="1"/>
    <col min="26" max="26" width="12.140625" bestFit="1" customWidth="1"/>
    <col min="27" max="27" width="15.42578125" bestFit="1" customWidth="1"/>
    <col min="28" max="28" width="12.140625" bestFit="1" customWidth="1"/>
    <col min="29" max="29" width="15.42578125" bestFit="1" customWidth="1"/>
    <col min="30" max="30" width="12.140625" bestFit="1" customWidth="1"/>
    <col min="31" max="31" width="15.42578125" bestFit="1" customWidth="1"/>
    <col min="32" max="32" width="12.140625" bestFit="1" customWidth="1"/>
    <col min="33" max="33" width="15.42578125" bestFit="1" customWidth="1"/>
    <col min="34" max="34" width="12.140625" bestFit="1" customWidth="1"/>
    <col min="35" max="35" width="15.42578125" bestFit="1" customWidth="1"/>
    <col min="36" max="36" width="12.140625" bestFit="1" customWidth="1"/>
    <col min="37" max="37" width="15.42578125" bestFit="1" customWidth="1"/>
    <col min="38" max="38" width="12.140625" bestFit="1" customWidth="1"/>
    <col min="39" max="39" width="15.42578125" bestFit="1" customWidth="1"/>
    <col min="40" max="40" width="12.140625" bestFit="1" customWidth="1"/>
    <col min="41" max="41" width="15.42578125" bestFit="1" customWidth="1"/>
    <col min="42" max="42" width="12.140625" bestFit="1" customWidth="1"/>
    <col min="43" max="43" width="15.42578125" bestFit="1" customWidth="1"/>
    <col min="44" max="44" width="12.140625" bestFit="1" customWidth="1"/>
    <col min="45" max="45" width="15.42578125" bestFit="1" customWidth="1"/>
    <col min="46" max="46" width="12.140625" bestFit="1" customWidth="1"/>
    <col min="47" max="47" width="15.42578125" bestFit="1" customWidth="1"/>
    <col min="48" max="48" width="12.140625" bestFit="1" customWidth="1"/>
    <col min="49" max="49" width="15.42578125" bestFit="1" customWidth="1"/>
    <col min="50" max="50" width="12.140625" bestFit="1" customWidth="1"/>
    <col min="51" max="51" width="15.42578125" bestFit="1" customWidth="1"/>
    <col min="52" max="52" width="12.140625" bestFit="1" customWidth="1"/>
    <col min="53" max="53" width="15.42578125" bestFit="1" customWidth="1"/>
    <col min="54" max="54" width="12.140625" bestFit="1" customWidth="1"/>
    <col min="55" max="55" width="15.42578125" bestFit="1" customWidth="1"/>
    <col min="56" max="56" width="12.140625" bestFit="1" customWidth="1"/>
    <col min="57" max="57" width="15.42578125" bestFit="1" customWidth="1"/>
    <col min="58" max="58" width="12.140625" bestFit="1" customWidth="1"/>
    <col min="59" max="59" width="15.42578125" bestFit="1" customWidth="1"/>
    <col min="60" max="60" width="12.140625" bestFit="1" customWidth="1"/>
    <col min="61" max="61" width="15.42578125" bestFit="1" customWidth="1"/>
    <col min="62" max="62" width="12.140625" bestFit="1" customWidth="1"/>
    <col min="63" max="63" width="15.42578125" bestFit="1" customWidth="1"/>
    <col min="64" max="64" width="12.140625" bestFit="1" customWidth="1"/>
    <col min="65" max="65" width="15.42578125" bestFit="1" customWidth="1"/>
    <col min="66" max="66" width="12.140625" bestFit="1" customWidth="1"/>
    <col min="67" max="67" width="15.42578125" bestFit="1" customWidth="1"/>
    <col min="68" max="68" width="12.140625" bestFit="1" customWidth="1"/>
    <col min="69" max="69" width="15.42578125" bestFit="1" customWidth="1"/>
    <col min="70" max="70" width="12.140625" bestFit="1" customWidth="1"/>
    <col min="71" max="71" width="15.42578125" bestFit="1" customWidth="1"/>
    <col min="72" max="72" width="12.140625" bestFit="1" customWidth="1"/>
    <col min="73" max="73" width="15.42578125" bestFit="1" customWidth="1"/>
    <col min="74" max="74" width="12.140625" bestFit="1" customWidth="1"/>
    <col min="75" max="75" width="15.42578125" bestFit="1" customWidth="1"/>
    <col min="76" max="76" width="12.140625" bestFit="1" customWidth="1"/>
    <col min="77" max="77" width="15.42578125" bestFit="1" customWidth="1"/>
    <col min="78" max="78" width="12.140625" bestFit="1" customWidth="1"/>
    <col min="79" max="79" width="15.42578125" bestFit="1" customWidth="1"/>
    <col min="80" max="80" width="12.140625" bestFit="1" customWidth="1"/>
    <col min="81" max="81" width="15.42578125" bestFit="1" customWidth="1"/>
    <col min="82" max="82" width="12.140625" bestFit="1" customWidth="1"/>
    <col min="83" max="83" width="15.42578125" bestFit="1" customWidth="1"/>
    <col min="84" max="84" width="12.140625" bestFit="1" customWidth="1"/>
    <col min="85" max="85" width="15.42578125" bestFit="1" customWidth="1"/>
    <col min="86" max="86" width="12.140625" bestFit="1" customWidth="1"/>
    <col min="87" max="87" width="15.42578125" bestFit="1" customWidth="1"/>
    <col min="88" max="88" width="12.140625" bestFit="1" customWidth="1"/>
    <col min="89" max="89" width="15.42578125" bestFit="1" customWidth="1"/>
    <col min="90" max="90" width="12.140625" bestFit="1" customWidth="1"/>
    <col min="91" max="91" width="15.42578125" bestFit="1" customWidth="1"/>
    <col min="92" max="92" width="12.140625" bestFit="1" customWidth="1"/>
    <col min="93" max="93" width="15.42578125" bestFit="1" customWidth="1"/>
    <col min="94" max="94" width="12.140625" bestFit="1" customWidth="1"/>
    <col min="95" max="95" width="15.42578125" bestFit="1" customWidth="1"/>
    <col min="96" max="96" width="12.140625" bestFit="1" customWidth="1"/>
    <col min="97" max="97" width="15.42578125" bestFit="1" customWidth="1"/>
    <col min="98" max="98" width="12.140625" bestFit="1" customWidth="1"/>
    <col min="99" max="99" width="15.42578125" bestFit="1" customWidth="1"/>
    <col min="100" max="100" width="12.140625" bestFit="1" customWidth="1"/>
    <col min="101" max="101" width="15.42578125" bestFit="1" customWidth="1"/>
    <col min="102" max="102" width="12.140625" bestFit="1" customWidth="1"/>
    <col min="103" max="103" width="15.42578125" bestFit="1" customWidth="1"/>
    <col min="104" max="104" width="12.140625" bestFit="1" customWidth="1"/>
    <col min="105" max="105" width="15.42578125" bestFit="1" customWidth="1"/>
    <col min="106" max="106" width="12.140625" bestFit="1" customWidth="1"/>
    <col min="107" max="107" width="15.42578125" bestFit="1" customWidth="1"/>
    <col min="108" max="108" width="12.140625" bestFit="1" customWidth="1"/>
    <col min="109" max="109" width="15.42578125" bestFit="1" customWidth="1"/>
    <col min="110" max="110" width="12.140625" bestFit="1" customWidth="1"/>
    <col min="111" max="111" width="15.42578125" bestFit="1" customWidth="1"/>
    <col min="112" max="112" width="12.140625" bestFit="1" customWidth="1"/>
    <col min="113" max="113" width="15.42578125" bestFit="1" customWidth="1"/>
    <col min="114" max="114" width="12.140625" bestFit="1" customWidth="1"/>
    <col min="115" max="115" width="15.42578125" bestFit="1" customWidth="1"/>
    <col min="116" max="116" width="12.140625" bestFit="1" customWidth="1"/>
    <col min="117" max="117" width="15.42578125" bestFit="1" customWidth="1"/>
    <col min="118" max="118" width="12.140625" bestFit="1" customWidth="1"/>
    <col min="119" max="119" width="15.42578125" bestFit="1" customWidth="1"/>
    <col min="120" max="120" width="12.140625" bestFit="1" customWidth="1"/>
    <col min="121" max="121" width="15.42578125" bestFit="1" customWidth="1"/>
    <col min="122" max="122" width="12.140625" bestFit="1" customWidth="1"/>
    <col min="123" max="123" width="15.42578125" bestFit="1" customWidth="1"/>
    <col min="124" max="124" width="12.140625" bestFit="1" customWidth="1"/>
    <col min="125" max="125" width="15.42578125" bestFit="1" customWidth="1"/>
    <col min="126" max="126" width="12.140625" bestFit="1" customWidth="1"/>
    <col min="127" max="127" width="15.42578125" bestFit="1" customWidth="1"/>
    <col min="128" max="128" width="12.140625" bestFit="1" customWidth="1"/>
    <col min="129" max="129" width="15.42578125" bestFit="1" customWidth="1"/>
    <col min="130" max="130" width="12.140625" bestFit="1" customWidth="1"/>
    <col min="131" max="131" width="15.42578125" bestFit="1" customWidth="1"/>
    <col min="132" max="132" width="12.140625" bestFit="1" customWidth="1"/>
    <col min="133" max="133" width="15.42578125" bestFit="1" customWidth="1"/>
    <col min="134" max="134" width="12.140625" bestFit="1" customWidth="1"/>
    <col min="135" max="135" width="15.42578125" bestFit="1" customWidth="1"/>
    <col min="136" max="136" width="12.140625" bestFit="1" customWidth="1"/>
    <col min="137" max="137" width="15.42578125" bestFit="1" customWidth="1"/>
    <col min="138" max="138" width="12.140625" bestFit="1" customWidth="1"/>
    <col min="139" max="139" width="15.42578125" bestFit="1" customWidth="1"/>
    <col min="140" max="140" width="12.140625" bestFit="1" customWidth="1"/>
    <col min="141" max="141" width="15.42578125" bestFit="1" customWidth="1"/>
    <col min="142" max="142" width="12.140625" bestFit="1" customWidth="1"/>
    <col min="143" max="143" width="15.42578125" bestFit="1" customWidth="1"/>
    <col min="144" max="144" width="12.140625" bestFit="1" customWidth="1"/>
    <col min="145" max="145" width="15.42578125" bestFit="1" customWidth="1"/>
    <col min="146" max="146" width="12.140625" bestFit="1" customWidth="1"/>
    <col min="147" max="147" width="15.42578125" bestFit="1" customWidth="1"/>
    <col min="148" max="148" width="12.140625" bestFit="1" customWidth="1"/>
    <col min="149" max="149" width="15.42578125" bestFit="1" customWidth="1"/>
    <col min="150" max="150" width="12.140625" bestFit="1" customWidth="1"/>
    <col min="151" max="151" width="15.42578125" bestFit="1" customWidth="1"/>
    <col min="152" max="152" width="12.140625" bestFit="1" customWidth="1"/>
    <col min="153" max="153" width="15.42578125" bestFit="1" customWidth="1"/>
    <col min="154" max="154" width="12.140625" bestFit="1" customWidth="1"/>
    <col min="155" max="155" width="15.42578125" bestFit="1" customWidth="1"/>
    <col min="156" max="156" width="12.140625" bestFit="1" customWidth="1"/>
    <col min="157" max="157" width="15.42578125" bestFit="1" customWidth="1"/>
    <col min="158" max="158" width="12.140625" bestFit="1" customWidth="1"/>
    <col min="159" max="159" width="15.42578125" bestFit="1" customWidth="1"/>
    <col min="160" max="160" width="12.140625" bestFit="1" customWidth="1"/>
    <col min="161" max="161" width="15.42578125" bestFit="1" customWidth="1"/>
    <col min="162" max="162" width="12.140625" bestFit="1" customWidth="1"/>
    <col min="163" max="163" width="15.42578125" bestFit="1" customWidth="1"/>
    <col min="164" max="164" width="12.140625" bestFit="1" customWidth="1"/>
    <col min="165" max="165" width="15.42578125" bestFit="1" customWidth="1"/>
    <col min="166" max="166" width="12.140625" bestFit="1" customWidth="1"/>
    <col min="167" max="167" width="15.42578125" bestFit="1" customWidth="1"/>
    <col min="168" max="168" width="12.140625" bestFit="1" customWidth="1"/>
    <col min="169" max="169" width="15.42578125" bestFit="1" customWidth="1"/>
    <col min="170" max="170" width="12.140625" bestFit="1" customWidth="1"/>
    <col min="171" max="171" width="15.42578125" bestFit="1" customWidth="1"/>
    <col min="172" max="172" width="12.140625" bestFit="1" customWidth="1"/>
    <col min="173" max="173" width="15.42578125" bestFit="1" customWidth="1"/>
    <col min="174" max="174" width="12.140625" bestFit="1" customWidth="1"/>
    <col min="175" max="175" width="15.42578125" bestFit="1" customWidth="1"/>
    <col min="176" max="176" width="12.140625" bestFit="1" customWidth="1"/>
    <col min="177" max="177" width="15.42578125" bestFit="1" customWidth="1"/>
    <col min="178" max="178" width="12.140625" bestFit="1" customWidth="1"/>
    <col min="179" max="179" width="15.42578125" bestFit="1" customWidth="1"/>
    <col min="180" max="180" width="12.140625" bestFit="1" customWidth="1"/>
    <col min="181" max="181" width="15.42578125" bestFit="1" customWidth="1"/>
    <col min="182" max="182" width="12.140625" bestFit="1" customWidth="1"/>
    <col min="183" max="183" width="15.42578125" bestFit="1" customWidth="1"/>
    <col min="184" max="184" width="12.140625" bestFit="1" customWidth="1"/>
    <col min="185" max="185" width="15.42578125" bestFit="1" customWidth="1"/>
    <col min="186" max="186" width="12.140625" bestFit="1" customWidth="1"/>
    <col min="187" max="187" width="15.42578125" bestFit="1" customWidth="1"/>
    <col min="188" max="188" width="12.140625" bestFit="1" customWidth="1"/>
    <col min="189" max="189" width="15.42578125" bestFit="1" customWidth="1"/>
    <col min="190" max="190" width="12.140625" bestFit="1" customWidth="1"/>
    <col min="191" max="191" width="15.42578125" bestFit="1" customWidth="1"/>
    <col min="192" max="192" width="12.140625" bestFit="1" customWidth="1"/>
    <col min="193" max="193" width="15.42578125" bestFit="1" customWidth="1"/>
    <col min="194" max="194" width="12.140625" bestFit="1" customWidth="1"/>
    <col min="195" max="195" width="15.42578125" bestFit="1" customWidth="1"/>
    <col min="196" max="196" width="12.140625" bestFit="1" customWidth="1"/>
    <col min="197" max="197" width="15.42578125" bestFit="1" customWidth="1"/>
    <col min="198" max="198" width="12.140625" bestFit="1" customWidth="1"/>
    <col min="199" max="199" width="15.42578125" bestFit="1" customWidth="1"/>
    <col min="200" max="200" width="12.140625" bestFit="1" customWidth="1"/>
    <col min="201" max="201" width="15.42578125" bestFit="1" customWidth="1"/>
    <col min="202" max="202" width="12.140625" bestFit="1" customWidth="1"/>
    <col min="203" max="203" width="15.42578125" bestFit="1" customWidth="1"/>
    <col min="204" max="204" width="12.140625" bestFit="1" customWidth="1"/>
    <col min="205" max="205" width="15.42578125" bestFit="1" customWidth="1"/>
    <col min="206" max="206" width="12.140625" bestFit="1" customWidth="1"/>
    <col min="207" max="207" width="15.42578125" bestFit="1" customWidth="1"/>
    <col min="208" max="208" width="12.140625" bestFit="1" customWidth="1"/>
    <col min="209" max="209" width="15.42578125" bestFit="1" customWidth="1"/>
    <col min="210" max="210" width="12.140625" bestFit="1" customWidth="1"/>
    <col min="211" max="211" width="15.42578125" bestFit="1" customWidth="1"/>
    <col min="212" max="212" width="12.140625" bestFit="1" customWidth="1"/>
    <col min="213" max="213" width="15.42578125" bestFit="1" customWidth="1"/>
    <col min="214" max="214" width="12.140625" bestFit="1" customWidth="1"/>
    <col min="215" max="215" width="15.42578125" bestFit="1" customWidth="1"/>
    <col min="216" max="216" width="12.140625" bestFit="1" customWidth="1"/>
    <col min="217" max="217" width="15.42578125" bestFit="1" customWidth="1"/>
    <col min="218" max="218" width="12.140625" bestFit="1" customWidth="1"/>
    <col min="219" max="219" width="15.42578125" bestFit="1" customWidth="1"/>
    <col min="220" max="220" width="12.140625" bestFit="1" customWidth="1"/>
    <col min="221" max="221" width="15.42578125" bestFit="1" customWidth="1"/>
    <col min="222" max="222" width="12.140625" bestFit="1" customWidth="1"/>
    <col min="223" max="223" width="15.42578125" bestFit="1" customWidth="1"/>
    <col min="224" max="224" width="12.140625" bestFit="1" customWidth="1"/>
    <col min="225" max="225" width="15.42578125" bestFit="1" customWidth="1"/>
    <col min="226" max="226" width="12.140625" bestFit="1" customWidth="1"/>
    <col min="227" max="227" width="15.42578125" bestFit="1" customWidth="1"/>
    <col min="228" max="228" width="12.140625" bestFit="1" customWidth="1"/>
    <col min="229" max="229" width="15.42578125" bestFit="1" customWidth="1"/>
    <col min="230" max="230" width="12.140625" bestFit="1" customWidth="1"/>
    <col min="231" max="231" width="15.42578125" bestFit="1" customWidth="1"/>
    <col min="232" max="232" width="12.140625" bestFit="1" customWidth="1"/>
    <col min="233" max="233" width="15.42578125" bestFit="1" customWidth="1"/>
    <col min="234" max="234" width="12.140625" bestFit="1" customWidth="1"/>
    <col min="235" max="235" width="15.42578125" bestFit="1" customWidth="1"/>
    <col min="236" max="236" width="12.140625" bestFit="1" customWidth="1"/>
    <col min="237" max="237" width="15.42578125" bestFit="1" customWidth="1"/>
    <col min="238" max="238" width="12.140625" bestFit="1" customWidth="1"/>
    <col min="239" max="239" width="15.42578125" bestFit="1" customWidth="1"/>
    <col min="240" max="240" width="12.140625" bestFit="1" customWidth="1"/>
    <col min="241" max="241" width="15.42578125" bestFit="1" customWidth="1"/>
    <col min="242" max="242" width="12.140625" bestFit="1" customWidth="1"/>
    <col min="243" max="243" width="15.42578125" bestFit="1" customWidth="1"/>
    <col min="244" max="244" width="12.140625" bestFit="1" customWidth="1"/>
    <col min="245" max="245" width="15.42578125" bestFit="1" customWidth="1"/>
    <col min="246" max="246" width="12.140625" bestFit="1" customWidth="1"/>
    <col min="247" max="247" width="15.42578125" bestFit="1" customWidth="1"/>
    <col min="248" max="248" width="12.140625" bestFit="1" customWidth="1"/>
    <col min="249" max="249" width="15.42578125" bestFit="1" customWidth="1"/>
    <col min="250" max="250" width="12.140625" bestFit="1" customWidth="1"/>
    <col min="251" max="251" width="15.42578125" bestFit="1" customWidth="1"/>
    <col min="252" max="252" width="12.140625" bestFit="1" customWidth="1"/>
    <col min="253" max="253" width="15.42578125" bestFit="1" customWidth="1"/>
    <col min="254" max="254" width="12.140625" bestFit="1" customWidth="1"/>
    <col min="255" max="255" width="15.42578125" bestFit="1" customWidth="1"/>
    <col min="256" max="256" width="12.140625" bestFit="1" customWidth="1"/>
    <col min="257" max="257" width="15.42578125" bestFit="1" customWidth="1"/>
    <col min="258" max="258" width="12.140625" bestFit="1" customWidth="1"/>
    <col min="259" max="259" width="15.42578125" bestFit="1" customWidth="1"/>
    <col min="260" max="260" width="12.140625" bestFit="1" customWidth="1"/>
    <col min="261" max="261" width="15.42578125" bestFit="1" customWidth="1"/>
    <col min="262" max="262" width="12.140625" bestFit="1" customWidth="1"/>
    <col min="263" max="263" width="15.42578125" bestFit="1" customWidth="1"/>
    <col min="264" max="264" width="12.140625" bestFit="1" customWidth="1"/>
    <col min="265" max="265" width="15.42578125" bestFit="1" customWidth="1"/>
    <col min="266" max="266" width="12.140625" bestFit="1" customWidth="1"/>
    <col min="267" max="267" width="15.42578125" bestFit="1" customWidth="1"/>
    <col min="268" max="268" width="12.140625" bestFit="1" customWidth="1"/>
    <col min="269" max="269" width="15.42578125" bestFit="1" customWidth="1"/>
    <col min="270" max="270" width="12.140625" bestFit="1" customWidth="1"/>
    <col min="271" max="271" width="15.42578125" bestFit="1" customWidth="1"/>
    <col min="272" max="272" width="12.140625" bestFit="1" customWidth="1"/>
    <col min="273" max="273" width="15.42578125" bestFit="1" customWidth="1"/>
    <col min="274" max="274" width="12.140625" bestFit="1" customWidth="1"/>
    <col min="275" max="275" width="15.42578125" bestFit="1" customWidth="1"/>
    <col min="276" max="276" width="12.140625" bestFit="1" customWidth="1"/>
    <col min="277" max="277" width="15.42578125" bestFit="1" customWidth="1"/>
    <col min="278" max="278" width="12.140625" bestFit="1" customWidth="1"/>
    <col min="279" max="279" width="15.42578125" bestFit="1" customWidth="1"/>
    <col min="280" max="280" width="12.140625" bestFit="1" customWidth="1"/>
    <col min="281" max="281" width="15.42578125" bestFit="1" customWidth="1"/>
    <col min="282" max="282" width="12.140625" bestFit="1" customWidth="1"/>
    <col min="283" max="283" width="15.42578125" bestFit="1" customWidth="1"/>
    <col min="284" max="284" width="12.140625" bestFit="1" customWidth="1"/>
    <col min="285" max="285" width="15.42578125" bestFit="1" customWidth="1"/>
    <col min="286" max="286" width="12.140625" bestFit="1" customWidth="1"/>
    <col min="287" max="287" width="15.42578125" bestFit="1" customWidth="1"/>
    <col min="288" max="288" width="12.140625" bestFit="1" customWidth="1"/>
    <col min="289" max="289" width="15.42578125" bestFit="1" customWidth="1"/>
    <col min="290" max="290" width="12.140625" bestFit="1" customWidth="1"/>
    <col min="291" max="291" width="15.42578125" bestFit="1" customWidth="1"/>
    <col min="292" max="292" width="12.140625" bestFit="1" customWidth="1"/>
    <col min="293" max="293" width="15.42578125" bestFit="1" customWidth="1"/>
    <col min="294" max="294" width="12.140625" bestFit="1" customWidth="1"/>
    <col min="295" max="295" width="15.42578125" bestFit="1" customWidth="1"/>
    <col min="296" max="296" width="12.140625" bestFit="1" customWidth="1"/>
    <col min="297" max="297" width="15.42578125" bestFit="1" customWidth="1"/>
    <col min="298" max="298" width="12.140625" bestFit="1" customWidth="1"/>
    <col min="299" max="299" width="15.42578125" bestFit="1" customWidth="1"/>
    <col min="300" max="300" width="12.140625" bestFit="1" customWidth="1"/>
    <col min="301" max="301" width="15.42578125" bestFit="1" customWidth="1"/>
    <col min="302" max="302" width="12.140625" bestFit="1" customWidth="1"/>
    <col min="303" max="303" width="15.42578125" bestFit="1" customWidth="1"/>
    <col min="304" max="304" width="12.140625" bestFit="1" customWidth="1"/>
    <col min="305" max="305" width="15.42578125" bestFit="1" customWidth="1"/>
    <col min="306" max="306" width="12.140625" bestFit="1" customWidth="1"/>
    <col min="307" max="307" width="15.42578125" bestFit="1" customWidth="1"/>
    <col min="308" max="308" width="12.140625" bestFit="1" customWidth="1"/>
    <col min="309" max="309" width="15.42578125" bestFit="1" customWidth="1"/>
    <col min="310" max="310" width="12.140625" bestFit="1" customWidth="1"/>
    <col min="311" max="311" width="15.42578125" bestFit="1" customWidth="1"/>
    <col min="312" max="312" width="12.140625" bestFit="1" customWidth="1"/>
    <col min="313" max="313" width="15.42578125" bestFit="1" customWidth="1"/>
    <col min="314" max="314" width="12.140625" bestFit="1" customWidth="1"/>
    <col min="315" max="315" width="15.42578125" bestFit="1" customWidth="1"/>
    <col min="316" max="316" width="12.140625" bestFit="1" customWidth="1"/>
    <col min="317" max="317" width="15.42578125" bestFit="1" customWidth="1"/>
    <col min="318" max="318" width="12.140625" bestFit="1" customWidth="1"/>
    <col min="319" max="319" width="15.42578125" bestFit="1" customWidth="1"/>
    <col min="320" max="320" width="12.140625" bestFit="1" customWidth="1"/>
    <col min="321" max="321" width="15.42578125" bestFit="1" customWidth="1"/>
    <col min="322" max="322" width="12.140625" bestFit="1" customWidth="1"/>
    <col min="323" max="323" width="15.42578125" bestFit="1" customWidth="1"/>
    <col min="324" max="324" width="12.140625" bestFit="1" customWidth="1"/>
    <col min="325" max="325" width="15.42578125" bestFit="1" customWidth="1"/>
    <col min="326" max="326" width="12.140625" bestFit="1" customWidth="1"/>
    <col min="327" max="327" width="15.42578125" bestFit="1" customWidth="1"/>
    <col min="328" max="328" width="12.140625" bestFit="1" customWidth="1"/>
    <col min="329" max="329" width="15.42578125" bestFit="1" customWidth="1"/>
    <col min="330" max="330" width="12.140625" bestFit="1" customWidth="1"/>
    <col min="331" max="331" width="15.42578125" bestFit="1" customWidth="1"/>
    <col min="332" max="332" width="12.140625" bestFit="1" customWidth="1"/>
    <col min="333" max="333" width="15.42578125" bestFit="1" customWidth="1"/>
    <col min="334" max="334" width="12.140625" bestFit="1" customWidth="1"/>
    <col min="335" max="335" width="15.42578125" bestFit="1" customWidth="1"/>
    <col min="336" max="336" width="12.140625" bestFit="1" customWidth="1"/>
    <col min="337" max="337" width="15.42578125" bestFit="1" customWidth="1"/>
    <col min="338" max="338" width="12.140625" bestFit="1" customWidth="1"/>
    <col min="339" max="339" width="15.42578125" bestFit="1" customWidth="1"/>
    <col min="340" max="340" width="12.140625" bestFit="1" customWidth="1"/>
    <col min="341" max="341" width="15.42578125" bestFit="1" customWidth="1"/>
    <col min="342" max="342" width="17.28515625" bestFit="1" customWidth="1"/>
    <col min="343" max="343" width="20.42578125" bestFit="1" customWidth="1"/>
    <col min="344" max="344" width="7.85546875" bestFit="1" customWidth="1"/>
    <col min="345" max="345" width="5.85546875" bestFit="1" customWidth="1"/>
    <col min="346" max="347" width="6" bestFit="1" customWidth="1"/>
    <col min="348" max="348" width="8.85546875" bestFit="1" customWidth="1"/>
    <col min="349" max="349" width="6" bestFit="1" customWidth="1"/>
    <col min="350" max="350" width="8.85546875" bestFit="1" customWidth="1"/>
    <col min="351" max="351" width="7" bestFit="1" customWidth="1"/>
    <col min="352" max="352" width="8.85546875" bestFit="1" customWidth="1"/>
    <col min="353" max="353" width="6" bestFit="1" customWidth="1"/>
    <col min="354" max="354" width="7" bestFit="1" customWidth="1"/>
    <col min="355" max="355" width="8.85546875" bestFit="1" customWidth="1"/>
    <col min="356" max="356" width="11.28515625" bestFit="1" customWidth="1"/>
  </cols>
  <sheetData>
    <row r="3" spans="1:11" x14ac:dyDescent="0.25">
      <c r="A3" s="2" t="s">
        <v>8</v>
      </c>
      <c r="B3" t="s">
        <v>636</v>
      </c>
      <c r="D3" s="2" t="s">
        <v>3</v>
      </c>
      <c r="E3" t="s">
        <v>636</v>
      </c>
      <c r="G3" s="2" t="s">
        <v>14</v>
      </c>
      <c r="H3" t="s">
        <v>636</v>
      </c>
      <c r="J3" s="2" t="s">
        <v>8</v>
      </c>
      <c r="K3" t="s">
        <v>636</v>
      </c>
    </row>
    <row r="4" spans="1:11" x14ac:dyDescent="0.25">
      <c r="A4" s="3" t="s">
        <v>226</v>
      </c>
      <c r="B4" s="5">
        <v>29890</v>
      </c>
      <c r="D4" s="3" t="s">
        <v>218</v>
      </c>
      <c r="E4" s="5">
        <v>571025</v>
      </c>
      <c r="G4" s="3">
        <v>2017</v>
      </c>
      <c r="H4" s="5">
        <v>502404</v>
      </c>
      <c r="J4" s="3" t="s">
        <v>45</v>
      </c>
      <c r="K4" s="5">
        <v>184751</v>
      </c>
    </row>
    <row r="5" spans="1:11" x14ac:dyDescent="0.25">
      <c r="A5" s="3" t="s">
        <v>75</v>
      </c>
      <c r="B5" s="5">
        <v>32004</v>
      </c>
      <c r="D5" s="3" t="s">
        <v>21</v>
      </c>
      <c r="E5" s="5">
        <v>1140558</v>
      </c>
      <c r="G5" s="3">
        <v>2018</v>
      </c>
      <c r="H5" s="5">
        <v>1209179</v>
      </c>
      <c r="J5" s="3" t="s">
        <v>34</v>
      </c>
      <c r="K5" s="5">
        <v>250663</v>
      </c>
    </row>
    <row r="6" spans="1:11" x14ac:dyDescent="0.25">
      <c r="A6" s="3" t="s">
        <v>123</v>
      </c>
      <c r="B6" s="5">
        <v>32650</v>
      </c>
      <c r="D6" s="3" t="s">
        <v>635</v>
      </c>
      <c r="E6" s="5">
        <v>1711583</v>
      </c>
      <c r="G6" s="3" t="s">
        <v>635</v>
      </c>
      <c r="H6" s="5">
        <v>1711583</v>
      </c>
      <c r="J6" s="3" t="s">
        <v>117</v>
      </c>
      <c r="K6" s="5">
        <v>205312</v>
      </c>
    </row>
    <row r="7" spans="1:11" x14ac:dyDescent="0.25">
      <c r="A7" s="3" t="s">
        <v>65</v>
      </c>
      <c r="B7" s="5">
        <v>38570</v>
      </c>
      <c r="J7" s="3" t="s">
        <v>88</v>
      </c>
      <c r="K7" s="5">
        <v>127350</v>
      </c>
    </row>
    <row r="8" spans="1:11" x14ac:dyDescent="0.25">
      <c r="A8" s="3" t="s">
        <v>219</v>
      </c>
      <c r="B8" s="5">
        <v>39928</v>
      </c>
      <c r="J8" s="3" t="s">
        <v>80</v>
      </c>
      <c r="K8" s="5">
        <v>521390</v>
      </c>
    </row>
    <row r="9" spans="1:11" x14ac:dyDescent="0.25">
      <c r="A9" s="3" t="s">
        <v>62</v>
      </c>
      <c r="B9" s="5">
        <v>56392</v>
      </c>
      <c r="J9" s="3" t="s">
        <v>25</v>
      </c>
      <c r="K9" s="5">
        <v>422117</v>
      </c>
    </row>
    <row r="10" spans="1:11" x14ac:dyDescent="0.25">
      <c r="A10" s="3" t="s">
        <v>121</v>
      </c>
      <c r="B10" s="5">
        <v>64386</v>
      </c>
      <c r="D10" s="2" t="s">
        <v>8</v>
      </c>
      <c r="E10" t="s">
        <v>636</v>
      </c>
      <c r="G10" s="2" t="s">
        <v>638</v>
      </c>
      <c r="H10" t="s">
        <v>636</v>
      </c>
      <c r="J10" s="3" t="s">
        <v>635</v>
      </c>
      <c r="K10" s="5">
        <v>1711583</v>
      </c>
    </row>
    <row r="11" spans="1:11" x14ac:dyDescent="0.25">
      <c r="A11" s="3" t="s">
        <v>488</v>
      </c>
      <c r="B11" s="5">
        <v>93600</v>
      </c>
      <c r="D11" s="3" t="s">
        <v>62</v>
      </c>
      <c r="E11" s="5">
        <v>56392</v>
      </c>
      <c r="G11" s="3" t="s">
        <v>438</v>
      </c>
      <c r="H11" s="1">
        <v>104</v>
      </c>
    </row>
    <row r="12" spans="1:11" x14ac:dyDescent="0.25">
      <c r="A12" s="3" t="s">
        <v>179</v>
      </c>
      <c r="B12" s="5">
        <v>107272</v>
      </c>
      <c r="D12" s="3" t="s">
        <v>121</v>
      </c>
      <c r="E12" s="5">
        <v>64386</v>
      </c>
      <c r="G12" s="3" t="s">
        <v>437</v>
      </c>
      <c r="H12" s="1">
        <v>94</v>
      </c>
    </row>
    <row r="13" spans="1:11" x14ac:dyDescent="0.25">
      <c r="A13" s="3" t="s">
        <v>411</v>
      </c>
      <c r="B13" s="5">
        <v>240597</v>
      </c>
      <c r="D13" s="3" t="s">
        <v>488</v>
      </c>
      <c r="E13" s="5">
        <v>93600</v>
      </c>
      <c r="G13" s="3" t="s">
        <v>503</v>
      </c>
      <c r="H13" s="1">
        <v>44</v>
      </c>
    </row>
    <row r="14" spans="1:11" x14ac:dyDescent="0.25">
      <c r="A14" s="3" t="s">
        <v>635</v>
      </c>
      <c r="B14" s="5">
        <v>735289</v>
      </c>
      <c r="D14" s="3" t="s">
        <v>179</v>
      </c>
      <c r="E14" s="5">
        <v>107272</v>
      </c>
      <c r="G14" s="3" t="s">
        <v>534</v>
      </c>
      <c r="H14" s="1">
        <v>-35451</v>
      </c>
    </row>
    <row r="15" spans="1:11" x14ac:dyDescent="0.25">
      <c r="D15" s="3" t="s">
        <v>411</v>
      </c>
      <c r="E15" s="5">
        <v>240597</v>
      </c>
      <c r="G15" s="3" t="s">
        <v>485</v>
      </c>
      <c r="H15" s="1">
        <v>-1870</v>
      </c>
    </row>
    <row r="16" spans="1:11" x14ac:dyDescent="0.25">
      <c r="D16" s="3" t="s">
        <v>635</v>
      </c>
      <c r="E16" s="5">
        <v>562247</v>
      </c>
      <c r="G16" s="3" t="s">
        <v>635</v>
      </c>
      <c r="H16" s="1">
        <v>-37079</v>
      </c>
    </row>
    <row r="19" spans="1:1" x14ac:dyDescent="0.25">
      <c r="A19" t="s">
        <v>637</v>
      </c>
    </row>
    <row r="20" spans="1:1" x14ac:dyDescent="0.25">
      <c r="A20" s="5">
        <v>1711583</v>
      </c>
    </row>
    <row r="54" spans="1:1" x14ac:dyDescent="0.25">
      <c r="A54" s="6">
        <f>A20</f>
        <v>1711583</v>
      </c>
    </row>
  </sheetData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02E4-4239-42F6-8F00-C132491363B3}">
  <dimension ref="A1:R338"/>
  <sheetViews>
    <sheetView tabSelected="1" topLeftCell="C156" workbookViewId="0">
      <selection activeCell="M338" sqref="M338"/>
    </sheetView>
  </sheetViews>
  <sheetFormatPr defaultRowHeight="15" x14ac:dyDescent="0.25"/>
  <cols>
    <col min="1" max="1" width="20.7109375" bestFit="1" customWidth="1"/>
    <col min="2" max="2" width="56.5703125" bestFit="1" customWidth="1"/>
    <col min="3" max="3" width="22.85546875" bestFit="1" customWidth="1"/>
    <col min="4" max="4" width="10.28515625" bestFit="1" customWidth="1"/>
    <col min="5" max="5" width="10.5703125" bestFit="1" customWidth="1"/>
    <col min="6" max="6" width="12.140625" bestFit="1" customWidth="1"/>
    <col min="7" max="7" width="10.5703125" bestFit="1" customWidth="1"/>
    <col min="8" max="8" width="14.28515625" bestFit="1" customWidth="1"/>
    <col min="9" max="9" width="25.28515625" bestFit="1" customWidth="1"/>
    <col min="10" max="10" width="15.85546875" bestFit="1" customWidth="1"/>
    <col min="11" max="11" width="11" bestFit="1" customWidth="1"/>
    <col min="12" max="12" width="7.7109375" bestFit="1" customWidth="1"/>
    <col min="13" max="13" width="7.85546875" bestFit="1" customWidth="1"/>
    <col min="14" max="14" width="10.85546875" bestFit="1" customWidth="1"/>
    <col min="15" max="15" width="7.28515625" bestFit="1" customWidth="1"/>
    <col min="16" max="16" width="20" bestFit="1" customWidth="1"/>
    <col min="17" max="17" width="15" bestFit="1" customWidth="1"/>
    <col min="18" max="18" width="1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>
        <v>51.2333</v>
      </c>
      <c r="F2">
        <v>22.566700000000001</v>
      </c>
      <c r="G2" s="1" t="s">
        <v>22</v>
      </c>
      <c r="H2" s="1" t="s">
        <v>23</v>
      </c>
      <c r="I2" s="1" t="s">
        <v>24</v>
      </c>
      <c r="J2" s="1" t="s">
        <v>25</v>
      </c>
      <c r="K2">
        <v>4</v>
      </c>
      <c r="L2">
        <v>368</v>
      </c>
      <c r="M2">
        <f>SUM(K2*L2)</f>
        <v>1472</v>
      </c>
      <c r="N2" s="1" t="s">
        <v>26</v>
      </c>
      <c r="O2">
        <v>2018</v>
      </c>
      <c r="P2" s="1" t="s">
        <v>27</v>
      </c>
      <c r="Q2" s="1" t="s">
        <v>28</v>
      </c>
      <c r="R2" s="1" t="s">
        <v>29</v>
      </c>
    </row>
    <row r="3" spans="1:18" x14ac:dyDescent="0.25">
      <c r="A3" s="1" t="s">
        <v>18</v>
      </c>
      <c r="B3" s="1" t="s">
        <v>30</v>
      </c>
      <c r="C3" s="1" t="s">
        <v>541</v>
      </c>
      <c r="D3" s="1" t="s">
        <v>21</v>
      </c>
      <c r="E3">
        <v>53.416699999999999</v>
      </c>
      <c r="F3">
        <v>18.433299999999999</v>
      </c>
      <c r="G3" s="1" t="s">
        <v>31</v>
      </c>
      <c r="H3" s="1" t="s">
        <v>32</v>
      </c>
      <c r="I3" s="1" t="s">
        <v>33</v>
      </c>
      <c r="J3" s="1" t="s">
        <v>34</v>
      </c>
      <c r="K3">
        <v>7</v>
      </c>
      <c r="L3">
        <v>591</v>
      </c>
      <c r="M3">
        <f t="shared" ref="M3:M66" si="0">SUM(K3*L3)</f>
        <v>4137</v>
      </c>
      <c r="N3" s="1" t="s">
        <v>26</v>
      </c>
      <c r="O3">
        <v>2018</v>
      </c>
      <c r="P3" s="1" t="s">
        <v>35</v>
      </c>
      <c r="Q3" s="1" t="s">
        <v>28</v>
      </c>
      <c r="R3" s="1" t="s">
        <v>29</v>
      </c>
    </row>
    <row r="4" spans="1:18" x14ac:dyDescent="0.25">
      <c r="A4" s="1" t="s">
        <v>18</v>
      </c>
      <c r="B4" s="1" t="s">
        <v>36</v>
      </c>
      <c r="C4" s="1" t="s">
        <v>37</v>
      </c>
      <c r="D4" s="1" t="s">
        <v>21</v>
      </c>
      <c r="E4">
        <v>50.083300000000001</v>
      </c>
      <c r="F4">
        <v>18.5</v>
      </c>
      <c r="G4" s="1" t="s">
        <v>31</v>
      </c>
      <c r="H4" s="1" t="s">
        <v>38</v>
      </c>
      <c r="I4" s="1" t="s">
        <v>39</v>
      </c>
      <c r="J4" s="1" t="s">
        <v>34</v>
      </c>
      <c r="K4">
        <v>30</v>
      </c>
      <c r="L4">
        <v>66</v>
      </c>
      <c r="M4">
        <f t="shared" si="0"/>
        <v>1980</v>
      </c>
      <c r="N4" s="1" t="s">
        <v>26</v>
      </c>
      <c r="O4">
        <v>2018</v>
      </c>
      <c r="P4" s="1" t="s">
        <v>40</v>
      </c>
      <c r="Q4" s="1" t="s">
        <v>41</v>
      </c>
      <c r="R4" s="1" t="s">
        <v>42</v>
      </c>
    </row>
    <row r="5" spans="1:18" x14ac:dyDescent="0.25">
      <c r="A5" s="1" t="s">
        <v>18</v>
      </c>
      <c r="B5" s="1" t="s">
        <v>43</v>
      </c>
      <c r="C5" s="1" t="s">
        <v>542</v>
      </c>
      <c r="D5" s="1" t="s">
        <v>21</v>
      </c>
      <c r="E5">
        <v>50.333300000000001</v>
      </c>
      <c r="F5">
        <v>19.083300000000001</v>
      </c>
      <c r="G5" s="1" t="s">
        <v>22</v>
      </c>
      <c r="H5" s="1" t="s">
        <v>23</v>
      </c>
      <c r="I5" s="1" t="s">
        <v>44</v>
      </c>
      <c r="J5" s="1" t="s">
        <v>45</v>
      </c>
      <c r="K5">
        <v>6</v>
      </c>
      <c r="L5">
        <v>435</v>
      </c>
      <c r="M5">
        <f t="shared" si="0"/>
        <v>2610</v>
      </c>
      <c r="N5" s="1" t="s">
        <v>26</v>
      </c>
      <c r="O5">
        <v>2018</v>
      </c>
      <c r="P5" s="1" t="s">
        <v>27</v>
      </c>
      <c r="Q5" s="1" t="s">
        <v>28</v>
      </c>
      <c r="R5" s="1" t="s">
        <v>29</v>
      </c>
    </row>
    <row r="6" spans="1:18" x14ac:dyDescent="0.25">
      <c r="A6" s="1" t="s">
        <v>18</v>
      </c>
      <c r="B6" s="1" t="s">
        <v>46</v>
      </c>
      <c r="C6" s="1" t="s">
        <v>47</v>
      </c>
      <c r="D6" s="1" t="s">
        <v>21</v>
      </c>
      <c r="E6">
        <v>53.78</v>
      </c>
      <c r="F6">
        <v>20.494199999999999</v>
      </c>
      <c r="G6" s="1" t="s">
        <v>31</v>
      </c>
      <c r="H6" s="1" t="s">
        <v>32</v>
      </c>
      <c r="I6" s="1" t="s">
        <v>48</v>
      </c>
      <c r="J6" s="1" t="s">
        <v>45</v>
      </c>
      <c r="K6">
        <v>20</v>
      </c>
      <c r="L6">
        <v>458</v>
      </c>
      <c r="M6">
        <f t="shared" si="0"/>
        <v>9160</v>
      </c>
      <c r="N6" s="1" t="s">
        <v>49</v>
      </c>
      <c r="O6">
        <v>2018</v>
      </c>
      <c r="P6" s="1" t="s">
        <v>50</v>
      </c>
      <c r="Q6" s="1" t="s">
        <v>28</v>
      </c>
      <c r="R6" s="1" t="s">
        <v>29</v>
      </c>
    </row>
    <row r="7" spans="1:18" x14ac:dyDescent="0.25">
      <c r="A7" s="1" t="s">
        <v>18</v>
      </c>
      <c r="B7" s="1" t="s">
        <v>51</v>
      </c>
      <c r="C7" s="1" t="s">
        <v>52</v>
      </c>
      <c r="D7" s="1" t="s">
        <v>21</v>
      </c>
      <c r="E7">
        <v>54.033299999999997</v>
      </c>
      <c r="F7">
        <v>22.5</v>
      </c>
      <c r="G7" s="1" t="s">
        <v>22</v>
      </c>
      <c r="H7" s="1" t="s">
        <v>23</v>
      </c>
      <c r="I7" s="1" t="s">
        <v>53</v>
      </c>
      <c r="J7" s="1" t="s">
        <v>25</v>
      </c>
      <c r="K7">
        <v>5</v>
      </c>
      <c r="L7">
        <v>123</v>
      </c>
      <c r="M7">
        <f t="shared" si="0"/>
        <v>615</v>
      </c>
      <c r="N7" s="1" t="s">
        <v>54</v>
      </c>
      <c r="O7">
        <v>2018</v>
      </c>
      <c r="P7" s="1" t="s">
        <v>55</v>
      </c>
      <c r="Q7" s="1" t="s">
        <v>56</v>
      </c>
      <c r="R7" s="1" t="s">
        <v>57</v>
      </c>
    </row>
    <row r="8" spans="1:18" x14ac:dyDescent="0.25">
      <c r="A8" s="1" t="s">
        <v>18</v>
      </c>
      <c r="B8" s="1" t="s">
        <v>58</v>
      </c>
      <c r="C8" s="1" t="s">
        <v>543</v>
      </c>
      <c r="D8" s="1" t="s">
        <v>21</v>
      </c>
      <c r="E8">
        <v>52.7958</v>
      </c>
      <c r="F8">
        <v>18.261099999999999</v>
      </c>
      <c r="G8" s="1" t="s">
        <v>31</v>
      </c>
      <c r="H8" s="1" t="s">
        <v>32</v>
      </c>
      <c r="I8" s="1" t="s">
        <v>59</v>
      </c>
      <c r="J8" s="1" t="s">
        <v>45</v>
      </c>
      <c r="K8">
        <v>20</v>
      </c>
      <c r="L8">
        <v>536</v>
      </c>
      <c r="M8">
        <f t="shared" si="0"/>
        <v>10720</v>
      </c>
      <c r="N8" s="1" t="s">
        <v>26</v>
      </c>
      <c r="O8">
        <v>2018</v>
      </c>
      <c r="P8" s="1" t="s">
        <v>60</v>
      </c>
      <c r="Q8" s="1" t="s">
        <v>28</v>
      </c>
      <c r="R8" s="1" t="s">
        <v>29</v>
      </c>
    </row>
    <row r="9" spans="1:18" x14ac:dyDescent="0.25">
      <c r="A9" s="1" t="s">
        <v>18</v>
      </c>
      <c r="B9" s="1" t="s">
        <v>61</v>
      </c>
      <c r="C9" s="1" t="s">
        <v>544</v>
      </c>
      <c r="D9" s="1" t="s">
        <v>21</v>
      </c>
      <c r="E9">
        <v>52.881700000000002</v>
      </c>
      <c r="F9">
        <v>20.610600000000002</v>
      </c>
      <c r="G9" s="1" t="s">
        <v>31</v>
      </c>
      <c r="H9" s="1" t="s">
        <v>32</v>
      </c>
      <c r="I9" s="1" t="s">
        <v>62</v>
      </c>
      <c r="J9" s="1" t="s">
        <v>25</v>
      </c>
      <c r="K9">
        <v>5</v>
      </c>
      <c r="L9">
        <v>742</v>
      </c>
      <c r="M9">
        <f t="shared" si="0"/>
        <v>3710</v>
      </c>
      <c r="N9" s="1" t="s">
        <v>26</v>
      </c>
      <c r="O9">
        <v>2018</v>
      </c>
      <c r="P9" s="1" t="s">
        <v>27</v>
      </c>
      <c r="Q9" s="1" t="s">
        <v>28</v>
      </c>
      <c r="R9" s="1" t="s">
        <v>29</v>
      </c>
    </row>
    <row r="10" spans="1:18" x14ac:dyDescent="0.25">
      <c r="A10" s="1" t="s">
        <v>18</v>
      </c>
      <c r="B10" s="1" t="s">
        <v>63</v>
      </c>
      <c r="C10" s="1" t="s">
        <v>64</v>
      </c>
      <c r="D10" s="1" t="s">
        <v>21</v>
      </c>
      <c r="E10">
        <v>53.3583</v>
      </c>
      <c r="F10">
        <v>20.425000000000001</v>
      </c>
      <c r="G10" s="1" t="s">
        <v>22</v>
      </c>
      <c r="H10" s="1" t="s">
        <v>23</v>
      </c>
      <c r="I10" s="1" t="s">
        <v>65</v>
      </c>
      <c r="J10" s="1" t="s">
        <v>25</v>
      </c>
      <c r="K10">
        <v>4</v>
      </c>
      <c r="L10">
        <v>551</v>
      </c>
      <c r="M10">
        <f t="shared" si="0"/>
        <v>2204</v>
      </c>
      <c r="N10" s="1" t="s">
        <v>26</v>
      </c>
      <c r="O10">
        <v>2018</v>
      </c>
      <c r="P10" s="1" t="s">
        <v>66</v>
      </c>
      <c r="Q10" s="1" t="s">
        <v>67</v>
      </c>
      <c r="R10" s="1" t="s">
        <v>68</v>
      </c>
    </row>
    <row r="11" spans="1:18" x14ac:dyDescent="0.25">
      <c r="A11" s="1" t="s">
        <v>18</v>
      </c>
      <c r="B11" s="1" t="s">
        <v>69</v>
      </c>
      <c r="C11" s="1" t="s">
        <v>545</v>
      </c>
      <c r="D11" s="1" t="s">
        <v>21</v>
      </c>
      <c r="E11">
        <v>50.061399999999999</v>
      </c>
      <c r="F11">
        <v>19.937200000000001</v>
      </c>
      <c r="G11" s="1" t="s">
        <v>22</v>
      </c>
      <c r="H11" s="1" t="s">
        <v>23</v>
      </c>
      <c r="I11" s="1" t="s">
        <v>70</v>
      </c>
      <c r="J11" s="1" t="s">
        <v>45</v>
      </c>
      <c r="K11">
        <v>10</v>
      </c>
      <c r="L11">
        <v>243</v>
      </c>
      <c r="M11">
        <f t="shared" si="0"/>
        <v>2430</v>
      </c>
      <c r="N11" s="1" t="s">
        <v>26</v>
      </c>
      <c r="O11">
        <v>2018</v>
      </c>
      <c r="P11" s="1" t="s">
        <v>71</v>
      </c>
      <c r="Q11" s="1" t="s">
        <v>41</v>
      </c>
      <c r="R11" s="1" t="s">
        <v>42</v>
      </c>
    </row>
    <row r="12" spans="1:18" x14ac:dyDescent="0.25">
      <c r="A12" s="1" t="s">
        <v>18</v>
      </c>
      <c r="B12" s="1" t="s">
        <v>72</v>
      </c>
      <c r="C12" s="1" t="s">
        <v>73</v>
      </c>
      <c r="D12" s="1" t="s">
        <v>21</v>
      </c>
      <c r="E12">
        <v>51.95</v>
      </c>
      <c r="F12">
        <v>14.7333</v>
      </c>
      <c r="G12" s="1" t="s">
        <v>22</v>
      </c>
      <c r="H12" s="1" t="s">
        <v>74</v>
      </c>
      <c r="I12" s="1" t="s">
        <v>75</v>
      </c>
      <c r="J12" s="1" t="s">
        <v>25</v>
      </c>
      <c r="K12">
        <v>35</v>
      </c>
      <c r="L12">
        <v>762</v>
      </c>
      <c r="M12">
        <f t="shared" si="0"/>
        <v>26670</v>
      </c>
      <c r="N12" s="1" t="s">
        <v>76</v>
      </c>
      <c r="O12">
        <v>2018</v>
      </c>
      <c r="P12" s="1" t="s">
        <v>77</v>
      </c>
      <c r="Q12" s="1" t="s">
        <v>56</v>
      </c>
      <c r="R12" s="1" t="s">
        <v>57</v>
      </c>
    </row>
    <row r="13" spans="1:18" x14ac:dyDescent="0.25">
      <c r="A13" s="1" t="s">
        <v>18</v>
      </c>
      <c r="B13" s="1" t="s">
        <v>78</v>
      </c>
      <c r="C13" s="1" t="s">
        <v>546</v>
      </c>
      <c r="D13" s="1" t="s">
        <v>21</v>
      </c>
      <c r="E13">
        <v>52.8</v>
      </c>
      <c r="F13">
        <v>21.9</v>
      </c>
      <c r="G13" s="1" t="s">
        <v>31</v>
      </c>
      <c r="H13" s="1" t="s">
        <v>38</v>
      </c>
      <c r="I13" s="1" t="s">
        <v>79</v>
      </c>
      <c r="J13" s="1" t="s">
        <v>80</v>
      </c>
      <c r="K13">
        <v>4</v>
      </c>
      <c r="L13">
        <v>249</v>
      </c>
      <c r="M13">
        <f t="shared" si="0"/>
        <v>996</v>
      </c>
      <c r="N13" s="1" t="s">
        <v>26</v>
      </c>
      <c r="O13">
        <v>2018</v>
      </c>
      <c r="P13" s="1" t="s">
        <v>81</v>
      </c>
      <c r="Q13" s="1" t="s">
        <v>41</v>
      </c>
      <c r="R13" s="1" t="s">
        <v>42</v>
      </c>
    </row>
    <row r="14" spans="1:18" x14ac:dyDescent="0.25">
      <c r="A14" s="1" t="s">
        <v>18</v>
      </c>
      <c r="B14" s="1" t="s">
        <v>82</v>
      </c>
      <c r="C14" s="1" t="s">
        <v>83</v>
      </c>
      <c r="D14" s="1" t="s">
        <v>21</v>
      </c>
      <c r="E14">
        <v>51.403599999999997</v>
      </c>
      <c r="F14">
        <v>21.156700000000001</v>
      </c>
      <c r="G14" s="1" t="s">
        <v>22</v>
      </c>
      <c r="H14" s="1" t="s">
        <v>23</v>
      </c>
      <c r="I14" s="1" t="s">
        <v>84</v>
      </c>
      <c r="J14" s="1" t="s">
        <v>25</v>
      </c>
      <c r="K14">
        <v>5</v>
      </c>
      <c r="L14">
        <v>785</v>
      </c>
      <c r="M14">
        <f t="shared" si="0"/>
        <v>3925</v>
      </c>
      <c r="N14" s="1" t="s">
        <v>85</v>
      </c>
      <c r="O14">
        <v>2018</v>
      </c>
      <c r="P14" s="1" t="s">
        <v>81</v>
      </c>
      <c r="Q14" s="1" t="s">
        <v>41</v>
      </c>
      <c r="R14" s="1" t="s">
        <v>42</v>
      </c>
    </row>
    <row r="15" spans="1:18" x14ac:dyDescent="0.25">
      <c r="A15" s="1" t="s">
        <v>18</v>
      </c>
      <c r="B15" s="1" t="s">
        <v>86</v>
      </c>
      <c r="C15" s="1" t="s">
        <v>547</v>
      </c>
      <c r="D15" s="1" t="s">
        <v>21</v>
      </c>
      <c r="E15">
        <v>54.366700000000002</v>
      </c>
      <c r="F15">
        <v>18.633299999999998</v>
      </c>
      <c r="G15" s="1" t="s">
        <v>31</v>
      </c>
      <c r="H15" s="1" t="s">
        <v>32</v>
      </c>
      <c r="I15" s="1" t="s">
        <v>87</v>
      </c>
      <c r="J15" s="1" t="s">
        <v>88</v>
      </c>
      <c r="K15">
        <v>6</v>
      </c>
      <c r="L15">
        <v>286</v>
      </c>
      <c r="M15">
        <f t="shared" si="0"/>
        <v>1716</v>
      </c>
      <c r="N15" s="1" t="s">
        <v>76</v>
      </c>
      <c r="O15">
        <v>2018</v>
      </c>
      <c r="P15" s="1" t="s">
        <v>35</v>
      </c>
      <c r="Q15" s="1" t="s">
        <v>28</v>
      </c>
      <c r="R15" s="1" t="s">
        <v>29</v>
      </c>
    </row>
    <row r="16" spans="1:18" x14ac:dyDescent="0.25">
      <c r="A16" s="1" t="s">
        <v>18</v>
      </c>
      <c r="B16" s="1" t="s">
        <v>89</v>
      </c>
      <c r="C16" s="1" t="s">
        <v>548</v>
      </c>
      <c r="D16" s="1" t="s">
        <v>21</v>
      </c>
      <c r="E16">
        <v>50.45</v>
      </c>
      <c r="F16">
        <v>18.866700000000002</v>
      </c>
      <c r="G16" s="1" t="s">
        <v>22</v>
      </c>
      <c r="H16" s="1" t="s">
        <v>23</v>
      </c>
      <c r="I16" s="1" t="s">
        <v>90</v>
      </c>
      <c r="J16" s="1" t="s">
        <v>88</v>
      </c>
      <c r="K16">
        <v>7</v>
      </c>
      <c r="L16">
        <v>487</v>
      </c>
      <c r="M16">
        <f t="shared" si="0"/>
        <v>3409</v>
      </c>
      <c r="N16" s="1" t="s">
        <v>26</v>
      </c>
      <c r="O16">
        <v>2018</v>
      </c>
      <c r="P16" s="1" t="s">
        <v>50</v>
      </c>
      <c r="Q16" s="1" t="s">
        <v>28</v>
      </c>
      <c r="R16" s="1" t="s">
        <v>29</v>
      </c>
    </row>
    <row r="17" spans="1:18" x14ac:dyDescent="0.25">
      <c r="A17" s="1" t="s">
        <v>18</v>
      </c>
      <c r="B17" s="1" t="s">
        <v>91</v>
      </c>
      <c r="C17" s="1" t="s">
        <v>549</v>
      </c>
      <c r="D17" s="1" t="s">
        <v>21</v>
      </c>
      <c r="E17">
        <v>50.15</v>
      </c>
      <c r="F17">
        <v>18.833300000000001</v>
      </c>
      <c r="G17" s="1" t="s">
        <v>22</v>
      </c>
      <c r="H17" s="1" t="s">
        <v>23</v>
      </c>
      <c r="I17" s="1" t="s">
        <v>92</v>
      </c>
      <c r="J17" s="1" t="s">
        <v>45</v>
      </c>
      <c r="K17">
        <v>5</v>
      </c>
      <c r="L17">
        <v>605</v>
      </c>
      <c r="M17">
        <f t="shared" si="0"/>
        <v>3025</v>
      </c>
      <c r="N17" s="1" t="s">
        <v>26</v>
      </c>
      <c r="O17">
        <v>2018</v>
      </c>
      <c r="P17" s="1" t="s">
        <v>71</v>
      </c>
      <c r="Q17" s="1" t="s">
        <v>41</v>
      </c>
      <c r="R17" s="1" t="s">
        <v>42</v>
      </c>
    </row>
    <row r="18" spans="1:18" x14ac:dyDescent="0.25">
      <c r="A18" s="1" t="s">
        <v>18</v>
      </c>
      <c r="B18" s="1" t="s">
        <v>93</v>
      </c>
      <c r="C18" s="1" t="s">
        <v>550</v>
      </c>
      <c r="D18" s="1" t="s">
        <v>21</v>
      </c>
      <c r="E18">
        <v>52.8</v>
      </c>
      <c r="F18">
        <v>17.2</v>
      </c>
      <c r="G18" s="1" t="s">
        <v>22</v>
      </c>
      <c r="H18" s="1" t="s">
        <v>23</v>
      </c>
      <c r="I18" s="1" t="s">
        <v>94</v>
      </c>
      <c r="J18" s="1" t="s">
        <v>88</v>
      </c>
      <c r="K18">
        <v>5</v>
      </c>
      <c r="L18">
        <v>548</v>
      </c>
      <c r="M18">
        <f t="shared" si="0"/>
        <v>2740</v>
      </c>
      <c r="N18" s="1" t="s">
        <v>85</v>
      </c>
      <c r="O18">
        <v>2018</v>
      </c>
      <c r="P18" s="1" t="s">
        <v>95</v>
      </c>
      <c r="Q18" s="1" t="s">
        <v>67</v>
      </c>
      <c r="R18" s="1" t="s">
        <v>68</v>
      </c>
    </row>
    <row r="19" spans="1:18" x14ac:dyDescent="0.25">
      <c r="A19" s="1" t="s">
        <v>18</v>
      </c>
      <c r="B19" s="1" t="s">
        <v>96</v>
      </c>
      <c r="C19" s="1" t="s">
        <v>551</v>
      </c>
      <c r="D19" s="1" t="s">
        <v>21</v>
      </c>
      <c r="E19">
        <v>51.116700000000002</v>
      </c>
      <c r="F19">
        <v>15.583299999999999</v>
      </c>
      <c r="G19" s="1" t="s">
        <v>22</v>
      </c>
      <c r="H19" s="1" t="s">
        <v>23</v>
      </c>
      <c r="I19" s="1" t="s">
        <v>97</v>
      </c>
      <c r="J19" s="1" t="s">
        <v>80</v>
      </c>
      <c r="K19">
        <v>30</v>
      </c>
      <c r="L19">
        <v>288</v>
      </c>
      <c r="M19">
        <f t="shared" si="0"/>
        <v>8640</v>
      </c>
      <c r="N19" s="1" t="s">
        <v>26</v>
      </c>
      <c r="O19">
        <v>2018</v>
      </c>
      <c r="P19" s="1" t="s">
        <v>71</v>
      </c>
      <c r="Q19" s="1" t="s">
        <v>41</v>
      </c>
      <c r="R19" s="1" t="s">
        <v>42</v>
      </c>
    </row>
    <row r="20" spans="1:18" x14ac:dyDescent="0.25">
      <c r="A20" s="1" t="s">
        <v>18</v>
      </c>
      <c r="B20" s="1" t="s">
        <v>98</v>
      </c>
      <c r="C20" s="1" t="s">
        <v>552</v>
      </c>
      <c r="D20" s="1" t="s">
        <v>21</v>
      </c>
      <c r="E20">
        <v>51.126399999999997</v>
      </c>
      <c r="F20">
        <v>15.9198</v>
      </c>
      <c r="G20" s="1" t="s">
        <v>31</v>
      </c>
      <c r="H20" s="1" t="s">
        <v>38</v>
      </c>
      <c r="I20" s="1" t="s">
        <v>99</v>
      </c>
      <c r="J20" s="1" t="s">
        <v>45</v>
      </c>
      <c r="K20">
        <v>2</v>
      </c>
      <c r="L20">
        <v>414</v>
      </c>
      <c r="M20">
        <f t="shared" si="0"/>
        <v>828</v>
      </c>
      <c r="N20" s="1" t="s">
        <v>26</v>
      </c>
      <c r="O20">
        <v>2018</v>
      </c>
      <c r="P20" s="1" t="s">
        <v>50</v>
      </c>
      <c r="Q20" s="1" t="s">
        <v>28</v>
      </c>
      <c r="R20" s="1" t="s">
        <v>29</v>
      </c>
    </row>
    <row r="21" spans="1:18" x14ac:dyDescent="0.25">
      <c r="A21" s="1" t="s">
        <v>18</v>
      </c>
      <c r="B21" s="1" t="s">
        <v>100</v>
      </c>
      <c r="C21" s="1" t="s">
        <v>101</v>
      </c>
      <c r="D21" s="1" t="s">
        <v>21</v>
      </c>
      <c r="E21">
        <v>53.864699999999999</v>
      </c>
      <c r="F21">
        <v>20.956900000000001</v>
      </c>
      <c r="G21" s="1" t="s">
        <v>31</v>
      </c>
      <c r="H21" s="1" t="s">
        <v>32</v>
      </c>
      <c r="I21" s="1" t="s">
        <v>102</v>
      </c>
      <c r="J21" s="1" t="s">
        <v>80</v>
      </c>
      <c r="K21">
        <v>2</v>
      </c>
      <c r="L21">
        <v>307</v>
      </c>
      <c r="M21">
        <f t="shared" si="0"/>
        <v>614</v>
      </c>
      <c r="N21" s="1" t="s">
        <v>26</v>
      </c>
      <c r="O21">
        <v>2018</v>
      </c>
      <c r="P21" s="1" t="s">
        <v>103</v>
      </c>
      <c r="Q21" s="1" t="s">
        <v>56</v>
      </c>
      <c r="R21" s="1" t="s">
        <v>57</v>
      </c>
    </row>
    <row r="22" spans="1:18" x14ac:dyDescent="0.25">
      <c r="A22" s="1" t="s">
        <v>18</v>
      </c>
      <c r="B22" s="1" t="s">
        <v>104</v>
      </c>
      <c r="C22" s="1" t="s">
        <v>553</v>
      </c>
      <c r="D22" s="1" t="s">
        <v>21</v>
      </c>
      <c r="E22">
        <v>50.55</v>
      </c>
      <c r="F22">
        <v>22.7333</v>
      </c>
      <c r="G22" s="1" t="s">
        <v>31</v>
      </c>
      <c r="H22" s="1" t="s">
        <v>38</v>
      </c>
      <c r="I22" s="1" t="s">
        <v>105</v>
      </c>
      <c r="J22" s="1" t="s">
        <v>88</v>
      </c>
      <c r="K22">
        <v>5</v>
      </c>
      <c r="L22">
        <v>421</v>
      </c>
      <c r="M22">
        <f t="shared" si="0"/>
        <v>2105</v>
      </c>
      <c r="N22" s="1" t="s">
        <v>49</v>
      </c>
      <c r="O22">
        <v>2018</v>
      </c>
      <c r="P22" s="1" t="s">
        <v>106</v>
      </c>
      <c r="Q22" s="1" t="s">
        <v>67</v>
      </c>
      <c r="R22" s="1" t="s">
        <v>68</v>
      </c>
    </row>
    <row r="23" spans="1:18" x14ac:dyDescent="0.25">
      <c r="A23" s="1" t="s">
        <v>18</v>
      </c>
      <c r="B23" s="1" t="s">
        <v>107</v>
      </c>
      <c r="C23" s="1" t="s">
        <v>108</v>
      </c>
      <c r="D23" s="1" t="s">
        <v>21</v>
      </c>
      <c r="E23">
        <v>53.833300000000001</v>
      </c>
      <c r="F23">
        <v>18.833300000000001</v>
      </c>
      <c r="G23" s="1" t="s">
        <v>31</v>
      </c>
      <c r="H23" s="1" t="s">
        <v>32</v>
      </c>
      <c r="I23" s="1" t="s">
        <v>109</v>
      </c>
      <c r="J23" s="1" t="s">
        <v>80</v>
      </c>
      <c r="K23">
        <v>20</v>
      </c>
      <c r="L23">
        <v>765</v>
      </c>
      <c r="M23">
        <f t="shared" si="0"/>
        <v>15300</v>
      </c>
      <c r="N23" s="1" t="s">
        <v>26</v>
      </c>
      <c r="O23">
        <v>2018</v>
      </c>
      <c r="P23" s="1" t="s">
        <v>81</v>
      </c>
      <c r="Q23" s="1" t="s">
        <v>41</v>
      </c>
      <c r="R23" s="1" t="s">
        <v>42</v>
      </c>
    </row>
    <row r="24" spans="1:18" x14ac:dyDescent="0.25">
      <c r="A24" s="1" t="s">
        <v>18</v>
      </c>
      <c r="B24" s="1" t="s">
        <v>110</v>
      </c>
      <c r="C24" s="1" t="s">
        <v>554</v>
      </c>
      <c r="D24" s="1" t="s">
        <v>21</v>
      </c>
      <c r="E24">
        <v>51.2667</v>
      </c>
      <c r="F24">
        <v>15.566700000000001</v>
      </c>
      <c r="G24" s="1" t="s">
        <v>31</v>
      </c>
      <c r="H24" s="1" t="s">
        <v>32</v>
      </c>
      <c r="I24" s="1" t="s">
        <v>111</v>
      </c>
      <c r="J24" s="1" t="s">
        <v>34</v>
      </c>
      <c r="K24">
        <v>5</v>
      </c>
      <c r="L24">
        <v>215</v>
      </c>
      <c r="M24">
        <f t="shared" si="0"/>
        <v>1075</v>
      </c>
      <c r="N24" s="1" t="s">
        <v>26</v>
      </c>
      <c r="O24">
        <v>2018</v>
      </c>
      <c r="P24" s="1" t="s">
        <v>35</v>
      </c>
      <c r="Q24" s="1" t="s">
        <v>28</v>
      </c>
      <c r="R24" s="1" t="s">
        <v>29</v>
      </c>
    </row>
    <row r="25" spans="1:18" x14ac:dyDescent="0.25">
      <c r="A25" s="1" t="s">
        <v>18</v>
      </c>
      <c r="B25" s="1" t="s">
        <v>112</v>
      </c>
      <c r="C25" s="1" t="s">
        <v>555</v>
      </c>
      <c r="D25" s="1" t="s">
        <v>21</v>
      </c>
      <c r="E25">
        <v>50.843800000000002</v>
      </c>
      <c r="F25">
        <v>16.488600000000002</v>
      </c>
      <c r="G25" s="1" t="s">
        <v>31</v>
      </c>
      <c r="H25" s="1" t="s">
        <v>38</v>
      </c>
      <c r="I25" s="1" t="s">
        <v>113</v>
      </c>
      <c r="J25" s="1" t="s">
        <v>80</v>
      </c>
      <c r="K25">
        <v>26</v>
      </c>
      <c r="L25">
        <v>689</v>
      </c>
      <c r="M25">
        <f t="shared" si="0"/>
        <v>17914</v>
      </c>
      <c r="N25" s="1" t="s">
        <v>26</v>
      </c>
      <c r="O25">
        <v>2018</v>
      </c>
      <c r="P25" s="1" t="s">
        <v>71</v>
      </c>
      <c r="Q25" s="1" t="s">
        <v>41</v>
      </c>
      <c r="R25" s="1" t="s">
        <v>42</v>
      </c>
    </row>
    <row r="26" spans="1:18" x14ac:dyDescent="0.25">
      <c r="A26" s="1" t="s">
        <v>18</v>
      </c>
      <c r="B26" s="1" t="s">
        <v>114</v>
      </c>
      <c r="C26" s="1" t="s">
        <v>556</v>
      </c>
      <c r="D26" s="1" t="s">
        <v>21</v>
      </c>
      <c r="E26">
        <v>52.183300000000003</v>
      </c>
      <c r="F26">
        <v>20.85</v>
      </c>
      <c r="G26" s="1" t="s">
        <v>22</v>
      </c>
      <c r="H26" s="1" t="s">
        <v>23</v>
      </c>
      <c r="I26" s="1" t="s">
        <v>53</v>
      </c>
      <c r="J26" s="1" t="s">
        <v>25</v>
      </c>
      <c r="K26">
        <v>16</v>
      </c>
      <c r="L26">
        <v>123</v>
      </c>
      <c r="M26">
        <f t="shared" si="0"/>
        <v>1968</v>
      </c>
      <c r="N26" s="1" t="s">
        <v>26</v>
      </c>
      <c r="O26">
        <v>2018</v>
      </c>
      <c r="P26" s="1" t="s">
        <v>66</v>
      </c>
      <c r="Q26" s="1" t="s">
        <v>67</v>
      </c>
      <c r="R26" s="1" t="s">
        <v>68</v>
      </c>
    </row>
    <row r="27" spans="1:18" x14ac:dyDescent="0.25">
      <c r="A27" s="1" t="s">
        <v>18</v>
      </c>
      <c r="B27" s="1" t="s">
        <v>115</v>
      </c>
      <c r="C27" s="1" t="s">
        <v>557</v>
      </c>
      <c r="D27" s="1" t="s">
        <v>21</v>
      </c>
      <c r="E27">
        <v>51.776899999999998</v>
      </c>
      <c r="F27">
        <v>19.454699999999999</v>
      </c>
      <c r="G27" s="1" t="s">
        <v>31</v>
      </c>
      <c r="H27" s="1" t="s">
        <v>32</v>
      </c>
      <c r="I27" s="1" t="s">
        <v>116</v>
      </c>
      <c r="J27" s="1" t="s">
        <v>117</v>
      </c>
      <c r="K27">
        <v>35</v>
      </c>
      <c r="L27">
        <v>24</v>
      </c>
      <c r="M27">
        <f t="shared" si="0"/>
        <v>840</v>
      </c>
      <c r="N27" s="1" t="s">
        <v>26</v>
      </c>
      <c r="O27">
        <v>2018</v>
      </c>
      <c r="P27" s="1" t="s">
        <v>66</v>
      </c>
      <c r="Q27" s="1" t="s">
        <v>67</v>
      </c>
      <c r="R27" s="1" t="s">
        <v>68</v>
      </c>
    </row>
    <row r="28" spans="1:18" x14ac:dyDescent="0.25">
      <c r="A28" s="1" t="s">
        <v>18</v>
      </c>
      <c r="B28" s="1" t="s">
        <v>118</v>
      </c>
      <c r="C28" s="1" t="s">
        <v>558</v>
      </c>
      <c r="D28" s="1" t="s">
        <v>21</v>
      </c>
      <c r="E28">
        <v>50.05</v>
      </c>
      <c r="F28">
        <v>22</v>
      </c>
      <c r="G28" s="1" t="s">
        <v>31</v>
      </c>
      <c r="H28" s="1" t="s">
        <v>38</v>
      </c>
      <c r="I28" s="1" t="s">
        <v>119</v>
      </c>
      <c r="J28" s="1" t="s">
        <v>80</v>
      </c>
      <c r="K28">
        <v>2</v>
      </c>
      <c r="L28">
        <v>502</v>
      </c>
      <c r="M28">
        <f t="shared" si="0"/>
        <v>1004</v>
      </c>
      <c r="N28" s="1" t="s">
        <v>26</v>
      </c>
      <c r="O28">
        <v>2018</v>
      </c>
      <c r="P28" s="1" t="s">
        <v>95</v>
      </c>
      <c r="Q28" s="1" t="s">
        <v>67</v>
      </c>
      <c r="R28" s="1" t="s">
        <v>68</v>
      </c>
    </row>
    <row r="29" spans="1:18" x14ac:dyDescent="0.25">
      <c r="A29" s="1" t="s">
        <v>18</v>
      </c>
      <c r="B29" s="1" t="s">
        <v>120</v>
      </c>
      <c r="C29" s="1" t="s">
        <v>559</v>
      </c>
      <c r="D29" s="1" t="s">
        <v>21</v>
      </c>
      <c r="E29">
        <v>50.1556</v>
      </c>
      <c r="F29">
        <v>23.123000000000001</v>
      </c>
      <c r="G29" s="1" t="s">
        <v>31</v>
      </c>
      <c r="H29" s="1" t="s">
        <v>38</v>
      </c>
      <c r="I29" s="1" t="s">
        <v>121</v>
      </c>
      <c r="J29" s="1" t="s">
        <v>117</v>
      </c>
      <c r="K29">
        <v>3</v>
      </c>
      <c r="L29">
        <v>511</v>
      </c>
      <c r="M29">
        <f t="shared" si="0"/>
        <v>1533</v>
      </c>
      <c r="N29" s="1" t="s">
        <v>26</v>
      </c>
      <c r="O29">
        <v>2018</v>
      </c>
      <c r="P29" s="1" t="s">
        <v>35</v>
      </c>
      <c r="Q29" s="1" t="s">
        <v>28</v>
      </c>
      <c r="R29" s="1" t="s">
        <v>29</v>
      </c>
    </row>
    <row r="30" spans="1:18" x14ac:dyDescent="0.25">
      <c r="A30" s="1" t="s">
        <v>18</v>
      </c>
      <c r="B30" s="1" t="s">
        <v>122</v>
      </c>
      <c r="C30" s="1" t="s">
        <v>560</v>
      </c>
      <c r="D30" s="1" t="s">
        <v>21</v>
      </c>
      <c r="E30">
        <v>51.2333</v>
      </c>
      <c r="F30">
        <v>22.7</v>
      </c>
      <c r="G30" s="1" t="s">
        <v>31</v>
      </c>
      <c r="H30" s="1" t="s">
        <v>38</v>
      </c>
      <c r="I30" s="1" t="s">
        <v>123</v>
      </c>
      <c r="J30" s="1" t="s">
        <v>25</v>
      </c>
      <c r="K30">
        <v>50</v>
      </c>
      <c r="L30">
        <v>653</v>
      </c>
      <c r="M30">
        <f t="shared" si="0"/>
        <v>32650</v>
      </c>
      <c r="N30" s="1" t="s">
        <v>124</v>
      </c>
      <c r="O30">
        <v>2018</v>
      </c>
      <c r="P30" s="1" t="s">
        <v>81</v>
      </c>
      <c r="Q30" s="1" t="s">
        <v>41</v>
      </c>
      <c r="R30" s="1" t="s">
        <v>42</v>
      </c>
    </row>
    <row r="31" spans="1:18" x14ac:dyDescent="0.25">
      <c r="A31" s="1" t="s">
        <v>18</v>
      </c>
      <c r="B31" s="1" t="s">
        <v>72</v>
      </c>
      <c r="C31" s="1" t="s">
        <v>73</v>
      </c>
      <c r="D31" s="1" t="s">
        <v>21</v>
      </c>
      <c r="E31">
        <v>51.95</v>
      </c>
      <c r="F31">
        <v>14.7333</v>
      </c>
      <c r="G31" s="1" t="s">
        <v>22</v>
      </c>
      <c r="H31" s="1" t="s">
        <v>74</v>
      </c>
      <c r="I31" s="1" t="s">
        <v>125</v>
      </c>
      <c r="J31" s="1" t="s">
        <v>45</v>
      </c>
      <c r="K31">
        <v>6</v>
      </c>
      <c r="L31">
        <v>191</v>
      </c>
      <c r="M31">
        <f t="shared" si="0"/>
        <v>1146</v>
      </c>
      <c r="N31" s="1" t="s">
        <v>26</v>
      </c>
      <c r="O31">
        <v>2018</v>
      </c>
      <c r="P31" s="1" t="s">
        <v>60</v>
      </c>
      <c r="Q31" s="1" t="s">
        <v>28</v>
      </c>
      <c r="R31" s="1" t="s">
        <v>29</v>
      </c>
    </row>
    <row r="32" spans="1:18" x14ac:dyDescent="0.25">
      <c r="A32" s="1" t="s">
        <v>18</v>
      </c>
      <c r="B32" s="1" t="s">
        <v>126</v>
      </c>
      <c r="C32" s="1" t="s">
        <v>127</v>
      </c>
      <c r="D32" s="1" t="s">
        <v>21</v>
      </c>
      <c r="E32">
        <v>50.475099999999998</v>
      </c>
      <c r="F32">
        <v>17.965399999999999</v>
      </c>
      <c r="G32" s="1" t="s">
        <v>31</v>
      </c>
      <c r="H32" s="1" t="s">
        <v>38</v>
      </c>
      <c r="I32" s="1" t="s">
        <v>128</v>
      </c>
      <c r="J32" s="1" t="s">
        <v>80</v>
      </c>
      <c r="K32">
        <v>4</v>
      </c>
      <c r="L32">
        <v>692</v>
      </c>
      <c r="M32">
        <f t="shared" si="0"/>
        <v>2768</v>
      </c>
      <c r="N32" s="1" t="s">
        <v>26</v>
      </c>
      <c r="O32">
        <v>2018</v>
      </c>
      <c r="P32" s="1" t="s">
        <v>95</v>
      </c>
      <c r="Q32" s="1" t="s">
        <v>67</v>
      </c>
      <c r="R32" s="1" t="s">
        <v>68</v>
      </c>
    </row>
    <row r="33" spans="1:18" x14ac:dyDescent="0.25">
      <c r="A33" s="1" t="s">
        <v>18</v>
      </c>
      <c r="B33" s="1" t="s">
        <v>129</v>
      </c>
      <c r="C33" s="1" t="s">
        <v>130</v>
      </c>
      <c r="D33" s="1" t="s">
        <v>21</v>
      </c>
      <c r="E33">
        <v>50.866700000000002</v>
      </c>
      <c r="F33">
        <v>17.4833</v>
      </c>
      <c r="G33" s="1" t="s">
        <v>22</v>
      </c>
      <c r="H33" s="1" t="s">
        <v>74</v>
      </c>
      <c r="I33" s="1" t="s">
        <v>131</v>
      </c>
      <c r="J33" s="1" t="s">
        <v>117</v>
      </c>
      <c r="K33">
        <v>6</v>
      </c>
      <c r="L33">
        <v>164</v>
      </c>
      <c r="M33">
        <f t="shared" si="0"/>
        <v>984</v>
      </c>
      <c r="N33" s="1" t="s">
        <v>26</v>
      </c>
      <c r="O33">
        <v>2018</v>
      </c>
      <c r="P33" s="1" t="s">
        <v>27</v>
      </c>
      <c r="Q33" s="1" t="s">
        <v>28</v>
      </c>
      <c r="R33" s="1" t="s">
        <v>29</v>
      </c>
    </row>
    <row r="34" spans="1:18" x14ac:dyDescent="0.25">
      <c r="A34" s="1" t="s">
        <v>18</v>
      </c>
      <c r="B34" s="1" t="s">
        <v>132</v>
      </c>
      <c r="C34" s="1" t="s">
        <v>133</v>
      </c>
      <c r="D34" s="1" t="s">
        <v>21</v>
      </c>
      <c r="E34">
        <v>49.299399999999999</v>
      </c>
      <c r="F34">
        <v>19.951899999999998</v>
      </c>
      <c r="G34" s="1" t="s">
        <v>31</v>
      </c>
      <c r="H34" s="1" t="s">
        <v>32</v>
      </c>
      <c r="I34" s="1" t="s">
        <v>65</v>
      </c>
      <c r="J34" s="1" t="s">
        <v>25</v>
      </c>
      <c r="K34">
        <v>60</v>
      </c>
      <c r="L34">
        <v>551</v>
      </c>
      <c r="M34">
        <f t="shared" si="0"/>
        <v>33060</v>
      </c>
      <c r="N34" s="1" t="s">
        <v>26</v>
      </c>
      <c r="O34">
        <v>2018</v>
      </c>
      <c r="P34" s="1" t="s">
        <v>27</v>
      </c>
      <c r="Q34" s="1" t="s">
        <v>28</v>
      </c>
      <c r="R34" s="1" t="s">
        <v>29</v>
      </c>
    </row>
    <row r="35" spans="1:18" x14ac:dyDescent="0.25">
      <c r="A35" s="1" t="s">
        <v>18</v>
      </c>
      <c r="B35" s="1" t="s">
        <v>30</v>
      </c>
      <c r="C35" s="1" t="s">
        <v>541</v>
      </c>
      <c r="D35" s="1" t="s">
        <v>21</v>
      </c>
      <c r="E35">
        <v>53.416699999999999</v>
      </c>
      <c r="F35">
        <v>18.433299999999999</v>
      </c>
      <c r="G35" s="1" t="s">
        <v>31</v>
      </c>
      <c r="H35" s="1" t="s">
        <v>32</v>
      </c>
      <c r="I35" s="1" t="s">
        <v>125</v>
      </c>
      <c r="J35" s="1" t="s">
        <v>45</v>
      </c>
      <c r="K35">
        <v>38</v>
      </c>
      <c r="L35">
        <v>191</v>
      </c>
      <c r="M35">
        <f t="shared" si="0"/>
        <v>7258</v>
      </c>
      <c r="N35" s="1" t="s">
        <v>54</v>
      </c>
      <c r="O35">
        <v>2018</v>
      </c>
      <c r="P35" s="1" t="s">
        <v>60</v>
      </c>
      <c r="Q35" s="1" t="s">
        <v>28</v>
      </c>
      <c r="R35" s="1" t="s">
        <v>29</v>
      </c>
    </row>
    <row r="36" spans="1:18" x14ac:dyDescent="0.25">
      <c r="A36" s="1" t="s">
        <v>18</v>
      </c>
      <c r="B36" s="1" t="s">
        <v>134</v>
      </c>
      <c r="C36" s="1" t="s">
        <v>561</v>
      </c>
      <c r="D36" s="1" t="s">
        <v>21</v>
      </c>
      <c r="E36">
        <v>52.1417</v>
      </c>
      <c r="F36">
        <v>20.716699999999999</v>
      </c>
      <c r="G36" s="1" t="s">
        <v>22</v>
      </c>
      <c r="H36" s="1" t="s">
        <v>23</v>
      </c>
      <c r="I36" s="1" t="s">
        <v>135</v>
      </c>
      <c r="J36" s="1" t="s">
        <v>34</v>
      </c>
      <c r="K36">
        <v>5</v>
      </c>
      <c r="L36">
        <v>114</v>
      </c>
      <c r="M36">
        <f t="shared" si="0"/>
        <v>570</v>
      </c>
      <c r="N36" s="1" t="s">
        <v>26</v>
      </c>
      <c r="O36">
        <v>2018</v>
      </c>
      <c r="P36" s="1" t="s">
        <v>35</v>
      </c>
      <c r="Q36" s="1" t="s">
        <v>28</v>
      </c>
      <c r="R36" s="1" t="s">
        <v>29</v>
      </c>
    </row>
    <row r="37" spans="1:18" x14ac:dyDescent="0.25">
      <c r="A37" s="1" t="s">
        <v>18</v>
      </c>
      <c r="B37" s="1" t="s">
        <v>136</v>
      </c>
      <c r="C37" s="1" t="s">
        <v>562</v>
      </c>
      <c r="D37" s="1" t="s">
        <v>21</v>
      </c>
      <c r="E37">
        <v>49.822499999999998</v>
      </c>
      <c r="F37">
        <v>19.0444</v>
      </c>
      <c r="G37" s="1" t="s">
        <v>31</v>
      </c>
      <c r="H37" s="1" t="s">
        <v>38</v>
      </c>
      <c r="I37" s="1" t="s">
        <v>137</v>
      </c>
      <c r="J37" s="1" t="s">
        <v>45</v>
      </c>
      <c r="K37">
        <v>5</v>
      </c>
      <c r="L37">
        <v>26</v>
      </c>
      <c r="M37">
        <f t="shared" si="0"/>
        <v>130</v>
      </c>
      <c r="N37" s="1" t="s">
        <v>26</v>
      </c>
      <c r="O37">
        <v>2018</v>
      </c>
      <c r="P37" s="1" t="s">
        <v>77</v>
      </c>
      <c r="Q37" s="1" t="s">
        <v>56</v>
      </c>
      <c r="R37" s="1" t="s">
        <v>57</v>
      </c>
    </row>
    <row r="38" spans="1:18" x14ac:dyDescent="0.25">
      <c r="A38" s="1" t="s">
        <v>18</v>
      </c>
      <c r="B38" s="1" t="s">
        <v>138</v>
      </c>
      <c r="C38" s="1" t="s">
        <v>563</v>
      </c>
      <c r="D38" s="1" t="s">
        <v>21</v>
      </c>
      <c r="E38">
        <v>53.2667</v>
      </c>
      <c r="F38">
        <v>16.466699999999999</v>
      </c>
      <c r="G38" s="1" t="s">
        <v>22</v>
      </c>
      <c r="H38" s="1" t="s">
        <v>74</v>
      </c>
      <c r="I38" s="1" t="s">
        <v>139</v>
      </c>
      <c r="J38" s="1" t="s">
        <v>25</v>
      </c>
      <c r="K38">
        <v>30</v>
      </c>
      <c r="L38">
        <v>452</v>
      </c>
      <c r="M38">
        <f t="shared" si="0"/>
        <v>13560</v>
      </c>
      <c r="N38" s="1" t="s">
        <v>26</v>
      </c>
      <c r="O38">
        <v>2018</v>
      </c>
      <c r="P38" s="1" t="s">
        <v>60</v>
      </c>
      <c r="Q38" s="1" t="s">
        <v>28</v>
      </c>
      <c r="R38" s="1" t="s">
        <v>29</v>
      </c>
    </row>
    <row r="39" spans="1:18" x14ac:dyDescent="0.25">
      <c r="A39" s="1" t="s">
        <v>18</v>
      </c>
      <c r="B39" s="1" t="s">
        <v>140</v>
      </c>
      <c r="C39" s="1" t="s">
        <v>564</v>
      </c>
      <c r="D39" s="1" t="s">
        <v>21</v>
      </c>
      <c r="E39">
        <v>49.882100000000001</v>
      </c>
      <c r="F39">
        <v>19.223299999999998</v>
      </c>
      <c r="G39" s="1" t="s">
        <v>31</v>
      </c>
      <c r="H39" s="1" t="s">
        <v>38</v>
      </c>
      <c r="I39" s="1" t="s">
        <v>141</v>
      </c>
      <c r="J39" s="1" t="s">
        <v>25</v>
      </c>
      <c r="K39">
        <v>1</v>
      </c>
      <c r="L39">
        <v>604</v>
      </c>
      <c r="M39">
        <f t="shared" si="0"/>
        <v>604</v>
      </c>
      <c r="N39" s="1" t="s">
        <v>26</v>
      </c>
      <c r="O39">
        <v>2018</v>
      </c>
      <c r="P39" s="1" t="s">
        <v>40</v>
      </c>
      <c r="Q39" s="1" t="s">
        <v>41</v>
      </c>
      <c r="R39" s="1" t="s">
        <v>42</v>
      </c>
    </row>
    <row r="40" spans="1:18" x14ac:dyDescent="0.25">
      <c r="A40" s="1" t="s">
        <v>18</v>
      </c>
      <c r="B40" s="1" t="s">
        <v>142</v>
      </c>
      <c r="C40" s="1" t="s">
        <v>565</v>
      </c>
      <c r="D40" s="1" t="s">
        <v>21</v>
      </c>
      <c r="E40">
        <v>50.8</v>
      </c>
      <c r="F40">
        <v>19.116700000000002</v>
      </c>
      <c r="G40" s="1" t="s">
        <v>31</v>
      </c>
      <c r="H40" s="1" t="s">
        <v>32</v>
      </c>
      <c r="I40" s="1" t="s">
        <v>143</v>
      </c>
      <c r="J40" s="1" t="s">
        <v>88</v>
      </c>
      <c r="K40">
        <v>2</v>
      </c>
      <c r="L40">
        <v>768</v>
      </c>
      <c r="M40">
        <f t="shared" si="0"/>
        <v>1536</v>
      </c>
      <c r="N40" s="1" t="s">
        <v>26</v>
      </c>
      <c r="O40">
        <v>2018</v>
      </c>
      <c r="P40" s="1" t="s">
        <v>35</v>
      </c>
      <c r="Q40" s="1" t="s">
        <v>28</v>
      </c>
      <c r="R40" s="1" t="s">
        <v>29</v>
      </c>
    </row>
    <row r="41" spans="1:18" x14ac:dyDescent="0.25">
      <c r="A41" s="1" t="s">
        <v>18</v>
      </c>
      <c r="B41" s="1" t="s">
        <v>144</v>
      </c>
      <c r="C41" s="1" t="s">
        <v>566</v>
      </c>
      <c r="D41" s="1" t="s">
        <v>21</v>
      </c>
      <c r="E41">
        <v>51.366700000000002</v>
      </c>
      <c r="F41">
        <v>19.366700000000002</v>
      </c>
      <c r="G41" s="1" t="s">
        <v>22</v>
      </c>
      <c r="H41" s="1" t="s">
        <v>23</v>
      </c>
      <c r="I41" s="1" t="s">
        <v>33</v>
      </c>
      <c r="J41" s="1" t="s">
        <v>34</v>
      </c>
      <c r="K41">
        <v>4</v>
      </c>
      <c r="L41">
        <v>591</v>
      </c>
      <c r="M41">
        <f t="shared" si="0"/>
        <v>2364</v>
      </c>
      <c r="N41" s="1" t="s">
        <v>26</v>
      </c>
      <c r="O41">
        <v>2018</v>
      </c>
      <c r="P41" s="1" t="s">
        <v>103</v>
      </c>
      <c r="Q41" s="1" t="s">
        <v>56</v>
      </c>
      <c r="R41" s="1" t="s">
        <v>57</v>
      </c>
    </row>
    <row r="42" spans="1:18" x14ac:dyDescent="0.25">
      <c r="A42" s="1" t="s">
        <v>18</v>
      </c>
      <c r="B42" s="1" t="s">
        <v>145</v>
      </c>
      <c r="C42" s="1" t="s">
        <v>567</v>
      </c>
      <c r="D42" s="1" t="s">
        <v>21</v>
      </c>
      <c r="E42">
        <v>53.2</v>
      </c>
      <c r="F42">
        <v>18.600000000000001</v>
      </c>
      <c r="G42" s="1" t="s">
        <v>22</v>
      </c>
      <c r="H42" s="1" t="s">
        <v>23</v>
      </c>
      <c r="I42" s="1" t="s">
        <v>146</v>
      </c>
      <c r="J42" s="1" t="s">
        <v>45</v>
      </c>
      <c r="K42">
        <v>2</v>
      </c>
      <c r="L42">
        <v>763</v>
      </c>
      <c r="M42">
        <f t="shared" si="0"/>
        <v>1526</v>
      </c>
      <c r="N42" s="1" t="s">
        <v>26</v>
      </c>
      <c r="O42">
        <v>2018</v>
      </c>
      <c r="P42" s="1" t="s">
        <v>60</v>
      </c>
      <c r="Q42" s="1" t="s">
        <v>28</v>
      </c>
      <c r="R42" s="1" t="s">
        <v>29</v>
      </c>
    </row>
    <row r="43" spans="1:18" x14ac:dyDescent="0.25">
      <c r="A43" s="1" t="s">
        <v>18</v>
      </c>
      <c r="B43" s="1" t="s">
        <v>147</v>
      </c>
      <c r="C43" s="1" t="s">
        <v>568</v>
      </c>
      <c r="D43" s="1" t="s">
        <v>21</v>
      </c>
      <c r="E43">
        <v>52.4</v>
      </c>
      <c r="F43">
        <v>16.916699999999999</v>
      </c>
      <c r="G43" s="1" t="s">
        <v>22</v>
      </c>
      <c r="H43" s="1" t="s">
        <v>74</v>
      </c>
      <c r="I43" s="1" t="s">
        <v>148</v>
      </c>
      <c r="J43" s="1" t="s">
        <v>34</v>
      </c>
      <c r="K43">
        <v>2</v>
      </c>
      <c r="L43">
        <v>458</v>
      </c>
      <c r="M43">
        <f t="shared" si="0"/>
        <v>916</v>
      </c>
      <c r="N43" s="1" t="s">
        <v>149</v>
      </c>
      <c r="O43">
        <v>2018</v>
      </c>
      <c r="P43" s="1" t="s">
        <v>81</v>
      </c>
      <c r="Q43" s="1" t="s">
        <v>41</v>
      </c>
      <c r="R43" s="1" t="s">
        <v>42</v>
      </c>
    </row>
    <row r="44" spans="1:18" x14ac:dyDescent="0.25">
      <c r="A44" s="1" t="s">
        <v>18</v>
      </c>
      <c r="B44" s="1" t="s">
        <v>150</v>
      </c>
      <c r="C44" s="1" t="s">
        <v>569</v>
      </c>
      <c r="D44" s="1" t="s">
        <v>21</v>
      </c>
      <c r="E44">
        <v>54.166699999999999</v>
      </c>
      <c r="F44">
        <v>19.399999999999999</v>
      </c>
      <c r="G44" s="1" t="s">
        <v>31</v>
      </c>
      <c r="H44" s="1" t="s">
        <v>38</v>
      </c>
      <c r="I44" s="1" t="s">
        <v>24</v>
      </c>
      <c r="J44" s="1" t="s">
        <v>25</v>
      </c>
      <c r="K44">
        <v>2</v>
      </c>
      <c r="L44">
        <v>368</v>
      </c>
      <c r="M44">
        <f t="shared" si="0"/>
        <v>736</v>
      </c>
      <c r="N44" s="1" t="s">
        <v>26</v>
      </c>
      <c r="O44">
        <v>2018</v>
      </c>
      <c r="P44" s="1" t="s">
        <v>103</v>
      </c>
      <c r="Q44" s="1" t="s">
        <v>56</v>
      </c>
      <c r="R44" s="1" t="s">
        <v>57</v>
      </c>
    </row>
    <row r="45" spans="1:18" x14ac:dyDescent="0.25">
      <c r="A45" s="1" t="s">
        <v>18</v>
      </c>
      <c r="B45" s="1" t="s">
        <v>151</v>
      </c>
      <c r="C45" s="1" t="s">
        <v>152</v>
      </c>
      <c r="D45" s="1" t="s">
        <v>21</v>
      </c>
      <c r="E45">
        <v>52.883299999999998</v>
      </c>
      <c r="F45">
        <v>18.783300000000001</v>
      </c>
      <c r="G45" s="1" t="s">
        <v>31</v>
      </c>
      <c r="H45" s="1" t="s">
        <v>32</v>
      </c>
      <c r="I45" s="1" t="s">
        <v>153</v>
      </c>
      <c r="J45" s="1" t="s">
        <v>117</v>
      </c>
      <c r="K45">
        <v>3</v>
      </c>
      <c r="L45">
        <v>682</v>
      </c>
      <c r="M45">
        <f t="shared" si="0"/>
        <v>2046</v>
      </c>
      <c r="N45" s="1" t="s">
        <v>26</v>
      </c>
      <c r="O45">
        <v>2018</v>
      </c>
      <c r="P45" s="1" t="s">
        <v>27</v>
      </c>
      <c r="Q45" s="1" t="s">
        <v>28</v>
      </c>
      <c r="R45" s="1" t="s">
        <v>29</v>
      </c>
    </row>
    <row r="46" spans="1:18" x14ac:dyDescent="0.25">
      <c r="A46" s="1" t="s">
        <v>18</v>
      </c>
      <c r="B46" s="1" t="s">
        <v>36</v>
      </c>
      <c r="C46" s="1" t="s">
        <v>37</v>
      </c>
      <c r="D46" s="1" t="s">
        <v>21</v>
      </c>
      <c r="E46">
        <v>50.083300000000001</v>
      </c>
      <c r="F46">
        <v>18.5</v>
      </c>
      <c r="G46" s="1" t="s">
        <v>31</v>
      </c>
      <c r="H46" s="1" t="s">
        <v>38</v>
      </c>
      <c r="I46" s="1" t="s">
        <v>154</v>
      </c>
      <c r="J46" s="1" t="s">
        <v>25</v>
      </c>
      <c r="K46">
        <v>2</v>
      </c>
      <c r="L46">
        <v>106</v>
      </c>
      <c r="M46">
        <f t="shared" si="0"/>
        <v>212</v>
      </c>
      <c r="N46" s="1" t="s">
        <v>26</v>
      </c>
      <c r="O46">
        <v>2018</v>
      </c>
      <c r="P46" s="1" t="s">
        <v>95</v>
      </c>
      <c r="Q46" s="1" t="s">
        <v>67</v>
      </c>
      <c r="R46" s="1" t="s">
        <v>68</v>
      </c>
    </row>
    <row r="47" spans="1:18" x14ac:dyDescent="0.25">
      <c r="A47" s="1" t="s">
        <v>18</v>
      </c>
      <c r="B47" s="1" t="s">
        <v>51</v>
      </c>
      <c r="C47" s="1" t="s">
        <v>52</v>
      </c>
      <c r="D47" s="1" t="s">
        <v>21</v>
      </c>
      <c r="E47">
        <v>54.033299999999997</v>
      </c>
      <c r="F47">
        <v>22.5</v>
      </c>
      <c r="G47" s="1" t="s">
        <v>22</v>
      </c>
      <c r="H47" s="1" t="s">
        <v>23</v>
      </c>
      <c r="I47" s="1" t="s">
        <v>155</v>
      </c>
      <c r="J47" s="1" t="s">
        <v>34</v>
      </c>
      <c r="K47">
        <v>1</v>
      </c>
      <c r="L47">
        <v>122</v>
      </c>
      <c r="M47">
        <f t="shared" si="0"/>
        <v>122</v>
      </c>
      <c r="N47" s="1" t="s">
        <v>156</v>
      </c>
      <c r="O47">
        <v>2018</v>
      </c>
      <c r="P47" s="1" t="s">
        <v>27</v>
      </c>
      <c r="Q47" s="1" t="s">
        <v>28</v>
      </c>
      <c r="R47" s="1" t="s">
        <v>29</v>
      </c>
    </row>
    <row r="48" spans="1:18" x14ac:dyDescent="0.25">
      <c r="A48" s="1" t="s">
        <v>18</v>
      </c>
      <c r="B48" s="1" t="s">
        <v>157</v>
      </c>
      <c r="C48" s="1" t="s">
        <v>570</v>
      </c>
      <c r="D48" s="1" t="s">
        <v>21</v>
      </c>
      <c r="E48">
        <v>50.437800000000003</v>
      </c>
      <c r="F48">
        <v>16.652799999999999</v>
      </c>
      <c r="G48" s="1" t="s">
        <v>22</v>
      </c>
      <c r="H48" s="1" t="s">
        <v>23</v>
      </c>
      <c r="I48" s="1" t="s">
        <v>158</v>
      </c>
      <c r="J48" s="1" t="s">
        <v>45</v>
      </c>
      <c r="K48">
        <v>4</v>
      </c>
      <c r="L48">
        <v>60</v>
      </c>
      <c r="M48">
        <f t="shared" si="0"/>
        <v>240</v>
      </c>
      <c r="N48" s="1" t="s">
        <v>26</v>
      </c>
      <c r="O48">
        <v>2018</v>
      </c>
      <c r="P48" s="1" t="s">
        <v>103</v>
      </c>
      <c r="Q48" s="1" t="s">
        <v>56</v>
      </c>
      <c r="R48" s="1" t="s">
        <v>57</v>
      </c>
    </row>
    <row r="49" spans="1:18" x14ac:dyDescent="0.25">
      <c r="A49" s="1" t="s">
        <v>18</v>
      </c>
      <c r="B49" s="1" t="s">
        <v>159</v>
      </c>
      <c r="C49" s="1" t="s">
        <v>160</v>
      </c>
      <c r="D49" s="1" t="s">
        <v>21</v>
      </c>
      <c r="E49">
        <v>53.755800000000001</v>
      </c>
      <c r="F49">
        <v>19.197500000000002</v>
      </c>
      <c r="G49" s="1" t="s">
        <v>22</v>
      </c>
      <c r="H49" s="1" t="s">
        <v>74</v>
      </c>
      <c r="I49" s="1" t="s">
        <v>161</v>
      </c>
      <c r="J49" s="1" t="s">
        <v>25</v>
      </c>
      <c r="K49">
        <v>2</v>
      </c>
      <c r="L49">
        <v>488</v>
      </c>
      <c r="M49">
        <f t="shared" si="0"/>
        <v>976</v>
      </c>
      <c r="N49" s="1" t="s">
        <v>26</v>
      </c>
      <c r="O49">
        <v>2018</v>
      </c>
      <c r="P49" s="1" t="s">
        <v>60</v>
      </c>
      <c r="Q49" s="1" t="s">
        <v>28</v>
      </c>
      <c r="R49" s="1" t="s">
        <v>29</v>
      </c>
    </row>
    <row r="50" spans="1:18" x14ac:dyDescent="0.25">
      <c r="A50" s="1" t="s">
        <v>18</v>
      </c>
      <c r="B50" s="1" t="s">
        <v>162</v>
      </c>
      <c r="C50" s="1" t="s">
        <v>571</v>
      </c>
      <c r="D50" s="1" t="s">
        <v>21</v>
      </c>
      <c r="E50">
        <v>50.3</v>
      </c>
      <c r="F50">
        <v>18.95</v>
      </c>
      <c r="G50" s="1" t="s">
        <v>31</v>
      </c>
      <c r="H50" s="1" t="s">
        <v>32</v>
      </c>
      <c r="I50" s="1" t="s">
        <v>163</v>
      </c>
      <c r="J50" s="1" t="s">
        <v>117</v>
      </c>
      <c r="K50">
        <v>8</v>
      </c>
      <c r="L50">
        <v>482</v>
      </c>
      <c r="M50">
        <f t="shared" si="0"/>
        <v>3856</v>
      </c>
      <c r="N50" s="1" t="s">
        <v>124</v>
      </c>
      <c r="O50">
        <v>2018</v>
      </c>
      <c r="P50" s="1" t="s">
        <v>66</v>
      </c>
      <c r="Q50" s="1" t="s">
        <v>67</v>
      </c>
      <c r="R50" s="1" t="s">
        <v>68</v>
      </c>
    </row>
    <row r="51" spans="1:18" x14ac:dyDescent="0.25">
      <c r="A51" s="1" t="s">
        <v>18</v>
      </c>
      <c r="B51" s="1" t="s">
        <v>164</v>
      </c>
      <c r="C51" s="1" t="s">
        <v>572</v>
      </c>
      <c r="D51" s="1" t="s">
        <v>21</v>
      </c>
      <c r="E51">
        <v>53.4925</v>
      </c>
      <c r="F51">
        <v>18.7761</v>
      </c>
      <c r="G51" s="1" t="s">
        <v>31</v>
      </c>
      <c r="H51" s="1" t="s">
        <v>32</v>
      </c>
      <c r="I51" s="1" t="s">
        <v>165</v>
      </c>
      <c r="J51" s="1" t="s">
        <v>25</v>
      </c>
      <c r="K51">
        <v>6</v>
      </c>
      <c r="L51">
        <v>391</v>
      </c>
      <c r="M51">
        <f t="shared" si="0"/>
        <v>2346</v>
      </c>
      <c r="N51" s="1" t="s">
        <v>26</v>
      </c>
      <c r="O51">
        <v>2018</v>
      </c>
      <c r="P51" s="1" t="s">
        <v>103</v>
      </c>
      <c r="Q51" s="1" t="s">
        <v>56</v>
      </c>
      <c r="R51" s="1" t="s">
        <v>57</v>
      </c>
    </row>
    <row r="52" spans="1:18" x14ac:dyDescent="0.25">
      <c r="A52" s="1" t="s">
        <v>18</v>
      </c>
      <c r="B52" s="1" t="s">
        <v>166</v>
      </c>
      <c r="C52" s="1" t="s">
        <v>573</v>
      </c>
      <c r="D52" s="1" t="s">
        <v>21</v>
      </c>
      <c r="E52">
        <v>52.058300000000003</v>
      </c>
      <c r="F52">
        <v>19.2</v>
      </c>
      <c r="G52" s="1" t="s">
        <v>31</v>
      </c>
      <c r="H52" s="1" t="s">
        <v>38</v>
      </c>
      <c r="I52" s="1" t="s">
        <v>167</v>
      </c>
      <c r="J52" s="1" t="s">
        <v>117</v>
      </c>
      <c r="K52">
        <v>10</v>
      </c>
      <c r="L52">
        <v>75</v>
      </c>
      <c r="M52">
        <f t="shared" si="0"/>
        <v>750</v>
      </c>
      <c r="N52" s="1" t="s">
        <v>26</v>
      </c>
      <c r="O52">
        <v>2018</v>
      </c>
      <c r="P52" s="1" t="s">
        <v>40</v>
      </c>
      <c r="Q52" s="1" t="s">
        <v>41</v>
      </c>
      <c r="R52" s="1" t="s">
        <v>42</v>
      </c>
    </row>
    <row r="53" spans="1:18" x14ac:dyDescent="0.25">
      <c r="A53" s="1" t="s">
        <v>18</v>
      </c>
      <c r="B53" s="1" t="s">
        <v>168</v>
      </c>
      <c r="C53" s="1" t="s">
        <v>574</v>
      </c>
      <c r="D53" s="1" t="s">
        <v>21</v>
      </c>
      <c r="E53">
        <v>53.65</v>
      </c>
      <c r="F53">
        <v>17.366700000000002</v>
      </c>
      <c r="G53" s="1" t="s">
        <v>31</v>
      </c>
      <c r="H53" s="1" t="s">
        <v>32</v>
      </c>
      <c r="I53" s="1" t="s">
        <v>169</v>
      </c>
      <c r="J53" s="1" t="s">
        <v>80</v>
      </c>
      <c r="K53">
        <v>10</v>
      </c>
      <c r="L53">
        <v>347</v>
      </c>
      <c r="M53">
        <f t="shared" si="0"/>
        <v>3470</v>
      </c>
      <c r="N53" s="1" t="s">
        <v>26</v>
      </c>
      <c r="O53">
        <v>2018</v>
      </c>
      <c r="P53" s="1" t="s">
        <v>27</v>
      </c>
      <c r="Q53" s="1" t="s">
        <v>28</v>
      </c>
      <c r="R53" s="1" t="s">
        <v>29</v>
      </c>
    </row>
    <row r="54" spans="1:18" x14ac:dyDescent="0.25">
      <c r="A54" s="1" t="s">
        <v>18</v>
      </c>
      <c r="B54" s="1" t="s">
        <v>43</v>
      </c>
      <c r="C54" s="1" t="s">
        <v>542</v>
      </c>
      <c r="D54" s="1" t="s">
        <v>21</v>
      </c>
      <c r="E54">
        <v>50.333300000000001</v>
      </c>
      <c r="F54">
        <v>19.083300000000001</v>
      </c>
      <c r="G54" s="1" t="s">
        <v>22</v>
      </c>
      <c r="H54" s="1" t="s">
        <v>23</v>
      </c>
      <c r="I54" s="1" t="s">
        <v>170</v>
      </c>
      <c r="J54" s="1" t="s">
        <v>25</v>
      </c>
      <c r="K54">
        <v>10</v>
      </c>
      <c r="L54">
        <v>99</v>
      </c>
      <c r="M54">
        <f t="shared" si="0"/>
        <v>990</v>
      </c>
      <c r="N54" s="1" t="s">
        <v>26</v>
      </c>
      <c r="O54">
        <v>2018</v>
      </c>
      <c r="P54" s="1" t="s">
        <v>106</v>
      </c>
      <c r="Q54" s="1" t="s">
        <v>67</v>
      </c>
      <c r="R54" s="1" t="s">
        <v>68</v>
      </c>
    </row>
    <row r="55" spans="1:18" x14ac:dyDescent="0.25">
      <c r="A55" s="1" t="s">
        <v>18</v>
      </c>
      <c r="B55" s="1" t="s">
        <v>171</v>
      </c>
      <c r="C55" s="1" t="s">
        <v>575</v>
      </c>
      <c r="D55" s="1" t="s">
        <v>21</v>
      </c>
      <c r="E55">
        <v>51.566699999999997</v>
      </c>
      <c r="F55">
        <v>21.8614</v>
      </c>
      <c r="G55" s="1" t="s">
        <v>22</v>
      </c>
      <c r="H55" s="1" t="s">
        <v>23</v>
      </c>
      <c r="I55" s="1" t="s">
        <v>90</v>
      </c>
      <c r="J55" s="1" t="s">
        <v>88</v>
      </c>
      <c r="K55">
        <v>8</v>
      </c>
      <c r="L55">
        <v>487</v>
      </c>
      <c r="M55">
        <f t="shared" si="0"/>
        <v>3896</v>
      </c>
      <c r="N55" s="1" t="s">
        <v>26</v>
      </c>
      <c r="O55">
        <v>2018</v>
      </c>
      <c r="P55" s="1" t="s">
        <v>55</v>
      </c>
      <c r="Q55" s="1" t="s">
        <v>56</v>
      </c>
      <c r="R55" s="1" t="s">
        <v>57</v>
      </c>
    </row>
    <row r="56" spans="1:18" x14ac:dyDescent="0.25">
      <c r="A56" s="1" t="s">
        <v>18</v>
      </c>
      <c r="B56" s="1" t="s">
        <v>112</v>
      </c>
      <c r="C56" s="1" t="s">
        <v>555</v>
      </c>
      <c r="D56" s="1" t="s">
        <v>21</v>
      </c>
      <c r="E56">
        <v>50.843800000000002</v>
      </c>
      <c r="F56">
        <v>16.488600000000002</v>
      </c>
      <c r="G56" s="1" t="s">
        <v>31</v>
      </c>
      <c r="H56" s="1" t="s">
        <v>38</v>
      </c>
      <c r="I56" s="1" t="s">
        <v>172</v>
      </c>
      <c r="J56" s="1" t="s">
        <v>117</v>
      </c>
      <c r="K56">
        <v>8</v>
      </c>
      <c r="L56">
        <v>149</v>
      </c>
      <c r="M56">
        <f t="shared" si="0"/>
        <v>1192</v>
      </c>
      <c r="N56" s="1" t="s">
        <v>26</v>
      </c>
      <c r="O56">
        <v>2018</v>
      </c>
      <c r="P56" s="1" t="s">
        <v>35</v>
      </c>
      <c r="Q56" s="1" t="s">
        <v>28</v>
      </c>
      <c r="R56" s="1" t="s">
        <v>29</v>
      </c>
    </row>
    <row r="57" spans="1:18" x14ac:dyDescent="0.25">
      <c r="A57" s="1" t="s">
        <v>18</v>
      </c>
      <c r="B57" s="1" t="s">
        <v>173</v>
      </c>
      <c r="C57" s="1" t="s">
        <v>576</v>
      </c>
      <c r="D57" s="1" t="s">
        <v>21</v>
      </c>
      <c r="E57">
        <v>53.916699999999999</v>
      </c>
      <c r="F57">
        <v>14.25</v>
      </c>
      <c r="G57" s="1" t="s">
        <v>22</v>
      </c>
      <c r="H57" s="1" t="s">
        <v>74</v>
      </c>
      <c r="I57" s="1" t="s">
        <v>174</v>
      </c>
      <c r="J57" s="1" t="s">
        <v>45</v>
      </c>
      <c r="K57">
        <v>1</v>
      </c>
      <c r="L57">
        <v>778</v>
      </c>
      <c r="M57">
        <f t="shared" si="0"/>
        <v>778</v>
      </c>
      <c r="N57" s="1" t="s">
        <v>26</v>
      </c>
      <c r="O57">
        <v>2018</v>
      </c>
      <c r="P57" s="1" t="s">
        <v>95</v>
      </c>
      <c r="Q57" s="1" t="s">
        <v>67</v>
      </c>
      <c r="R57" s="1" t="s">
        <v>68</v>
      </c>
    </row>
    <row r="58" spans="1:18" x14ac:dyDescent="0.25">
      <c r="A58" s="1" t="s">
        <v>18</v>
      </c>
      <c r="B58" s="1" t="s">
        <v>175</v>
      </c>
      <c r="C58" s="1" t="s">
        <v>577</v>
      </c>
      <c r="D58" s="1" t="s">
        <v>21</v>
      </c>
      <c r="E58">
        <v>52.7333</v>
      </c>
      <c r="F58">
        <v>15.25</v>
      </c>
      <c r="G58" s="1" t="s">
        <v>31</v>
      </c>
      <c r="H58" s="1" t="s">
        <v>38</v>
      </c>
      <c r="I58" s="1" t="s">
        <v>141</v>
      </c>
      <c r="J58" s="1" t="s">
        <v>25</v>
      </c>
      <c r="K58">
        <v>20</v>
      </c>
      <c r="L58">
        <v>604</v>
      </c>
      <c r="M58">
        <f t="shared" si="0"/>
        <v>12080</v>
      </c>
      <c r="N58" s="1" t="s">
        <v>26</v>
      </c>
      <c r="O58">
        <v>2018</v>
      </c>
      <c r="P58" s="1" t="s">
        <v>106</v>
      </c>
      <c r="Q58" s="1" t="s">
        <v>67</v>
      </c>
      <c r="R58" s="1" t="s">
        <v>68</v>
      </c>
    </row>
    <row r="59" spans="1:18" x14ac:dyDescent="0.25">
      <c r="A59" s="1" t="s">
        <v>18</v>
      </c>
      <c r="B59" s="1" t="s">
        <v>176</v>
      </c>
      <c r="C59" s="1" t="s">
        <v>578</v>
      </c>
      <c r="D59" s="1" t="s">
        <v>21</v>
      </c>
      <c r="E59">
        <v>53.142099999999999</v>
      </c>
      <c r="F59">
        <v>17.601800000000001</v>
      </c>
      <c r="G59" s="1" t="s">
        <v>31</v>
      </c>
      <c r="H59" s="1" t="s">
        <v>32</v>
      </c>
      <c r="I59" s="1" t="s">
        <v>174</v>
      </c>
      <c r="J59" s="1" t="s">
        <v>45</v>
      </c>
      <c r="K59">
        <v>20</v>
      </c>
      <c r="L59">
        <v>778</v>
      </c>
      <c r="M59">
        <f t="shared" si="0"/>
        <v>15560</v>
      </c>
      <c r="N59" s="1" t="s">
        <v>26</v>
      </c>
      <c r="O59">
        <v>2018</v>
      </c>
      <c r="P59" s="1" t="s">
        <v>77</v>
      </c>
      <c r="Q59" s="1" t="s">
        <v>56</v>
      </c>
      <c r="R59" s="1" t="s">
        <v>57</v>
      </c>
    </row>
    <row r="60" spans="1:18" x14ac:dyDescent="0.25">
      <c r="A60" s="1" t="s">
        <v>18</v>
      </c>
      <c r="B60" s="1" t="s">
        <v>177</v>
      </c>
      <c r="C60" s="1" t="s">
        <v>178</v>
      </c>
      <c r="D60" s="1" t="s">
        <v>21</v>
      </c>
      <c r="E60">
        <v>53.252400000000002</v>
      </c>
      <c r="F60">
        <v>14.488300000000001</v>
      </c>
      <c r="G60" s="1" t="s">
        <v>22</v>
      </c>
      <c r="H60" s="1" t="s">
        <v>74</v>
      </c>
      <c r="I60" s="1" t="s">
        <v>179</v>
      </c>
      <c r="J60" s="1" t="s">
        <v>34</v>
      </c>
      <c r="K60">
        <v>3</v>
      </c>
      <c r="L60">
        <v>424</v>
      </c>
      <c r="M60">
        <f t="shared" si="0"/>
        <v>1272</v>
      </c>
      <c r="N60" s="1" t="s">
        <v>26</v>
      </c>
      <c r="O60">
        <v>2018</v>
      </c>
      <c r="P60" s="1" t="s">
        <v>71</v>
      </c>
      <c r="Q60" s="1" t="s">
        <v>41</v>
      </c>
      <c r="R60" s="1" t="s">
        <v>42</v>
      </c>
    </row>
    <row r="61" spans="1:18" x14ac:dyDescent="0.25">
      <c r="A61" s="1" t="s">
        <v>18</v>
      </c>
      <c r="B61" s="1" t="s">
        <v>180</v>
      </c>
      <c r="C61" s="1" t="s">
        <v>181</v>
      </c>
      <c r="D61" s="1" t="s">
        <v>21</v>
      </c>
      <c r="E61">
        <v>50.683300000000003</v>
      </c>
      <c r="F61">
        <v>21.75</v>
      </c>
      <c r="G61" s="1" t="s">
        <v>22</v>
      </c>
      <c r="H61" s="1" t="s">
        <v>74</v>
      </c>
      <c r="I61" s="1" t="s">
        <v>62</v>
      </c>
      <c r="J61" s="1" t="s">
        <v>25</v>
      </c>
      <c r="K61">
        <v>10</v>
      </c>
      <c r="L61">
        <v>742</v>
      </c>
      <c r="M61">
        <f t="shared" si="0"/>
        <v>7420</v>
      </c>
      <c r="N61" s="1" t="s">
        <v>124</v>
      </c>
      <c r="O61">
        <v>2018</v>
      </c>
      <c r="P61" s="1" t="s">
        <v>35</v>
      </c>
      <c r="Q61" s="1" t="s">
        <v>28</v>
      </c>
      <c r="R61" s="1" t="s">
        <v>29</v>
      </c>
    </row>
    <row r="62" spans="1:18" x14ac:dyDescent="0.25">
      <c r="A62" s="1" t="s">
        <v>18</v>
      </c>
      <c r="B62" s="1" t="s">
        <v>182</v>
      </c>
      <c r="C62" s="1" t="s">
        <v>579</v>
      </c>
      <c r="D62" s="1" t="s">
        <v>21</v>
      </c>
      <c r="E62">
        <v>53.969700000000003</v>
      </c>
      <c r="F62">
        <v>14.7858</v>
      </c>
      <c r="G62" s="1" t="s">
        <v>22</v>
      </c>
      <c r="H62" s="1" t="s">
        <v>74</v>
      </c>
      <c r="I62" s="1" t="s">
        <v>39</v>
      </c>
      <c r="J62" s="1" t="s">
        <v>34</v>
      </c>
      <c r="K62">
        <v>100</v>
      </c>
      <c r="L62">
        <v>66</v>
      </c>
      <c r="M62">
        <f t="shared" si="0"/>
        <v>6600</v>
      </c>
      <c r="N62" s="1" t="s">
        <v>26</v>
      </c>
      <c r="O62">
        <v>2018</v>
      </c>
      <c r="P62" s="1" t="s">
        <v>71</v>
      </c>
      <c r="Q62" s="1" t="s">
        <v>41</v>
      </c>
      <c r="R62" s="1" t="s">
        <v>42</v>
      </c>
    </row>
    <row r="63" spans="1:18" x14ac:dyDescent="0.25">
      <c r="A63" s="1" t="s">
        <v>18</v>
      </c>
      <c r="B63" s="1" t="s">
        <v>150</v>
      </c>
      <c r="C63" s="1" t="s">
        <v>569</v>
      </c>
      <c r="D63" s="1" t="s">
        <v>21</v>
      </c>
      <c r="E63">
        <v>54.166699999999999</v>
      </c>
      <c r="F63">
        <v>19.399999999999999</v>
      </c>
      <c r="G63" s="1" t="s">
        <v>31</v>
      </c>
      <c r="H63" s="1" t="s">
        <v>38</v>
      </c>
      <c r="I63" s="1" t="s">
        <v>163</v>
      </c>
      <c r="J63" s="1" t="s">
        <v>117</v>
      </c>
      <c r="K63">
        <v>4</v>
      </c>
      <c r="L63">
        <v>482</v>
      </c>
      <c r="M63">
        <f t="shared" si="0"/>
        <v>1928</v>
      </c>
      <c r="N63" s="1" t="s">
        <v>26</v>
      </c>
      <c r="O63">
        <v>2018</v>
      </c>
      <c r="P63" s="1" t="s">
        <v>50</v>
      </c>
      <c r="Q63" s="1" t="s">
        <v>28</v>
      </c>
      <c r="R63" s="1" t="s">
        <v>29</v>
      </c>
    </row>
    <row r="64" spans="1:18" x14ac:dyDescent="0.25">
      <c r="A64" s="1" t="s">
        <v>18</v>
      </c>
      <c r="B64" s="1" t="s">
        <v>183</v>
      </c>
      <c r="C64" s="1" t="s">
        <v>184</v>
      </c>
      <c r="D64" s="1" t="s">
        <v>21</v>
      </c>
      <c r="E64">
        <v>50.583300000000001</v>
      </c>
      <c r="F64">
        <v>21.683299999999999</v>
      </c>
      <c r="G64" s="1" t="s">
        <v>31</v>
      </c>
      <c r="H64" s="1" t="s">
        <v>32</v>
      </c>
      <c r="I64" s="1" t="s">
        <v>185</v>
      </c>
      <c r="J64" s="1" t="s">
        <v>45</v>
      </c>
      <c r="K64">
        <v>5</v>
      </c>
      <c r="L64">
        <v>722</v>
      </c>
      <c r="M64">
        <f t="shared" si="0"/>
        <v>3610</v>
      </c>
      <c r="N64" s="1" t="s">
        <v>26</v>
      </c>
      <c r="O64">
        <v>2018</v>
      </c>
      <c r="P64" s="1" t="s">
        <v>66</v>
      </c>
      <c r="Q64" s="1" t="s">
        <v>67</v>
      </c>
      <c r="R64" s="1" t="s">
        <v>68</v>
      </c>
    </row>
    <row r="65" spans="1:18" x14ac:dyDescent="0.25">
      <c r="A65" s="1" t="s">
        <v>18</v>
      </c>
      <c r="B65" s="1" t="s">
        <v>186</v>
      </c>
      <c r="C65" s="1" t="s">
        <v>580</v>
      </c>
      <c r="D65" s="1" t="s">
        <v>21</v>
      </c>
      <c r="E65">
        <v>54.216700000000003</v>
      </c>
      <c r="F65">
        <v>21.75</v>
      </c>
      <c r="G65" s="1" t="s">
        <v>22</v>
      </c>
      <c r="H65" s="1" t="s">
        <v>23</v>
      </c>
      <c r="I65" s="1" t="s">
        <v>187</v>
      </c>
      <c r="J65" s="1" t="s">
        <v>80</v>
      </c>
      <c r="K65">
        <v>30</v>
      </c>
      <c r="L65">
        <v>373</v>
      </c>
      <c r="M65">
        <f t="shared" si="0"/>
        <v>11190</v>
      </c>
      <c r="N65" s="1" t="s">
        <v>26</v>
      </c>
      <c r="O65">
        <v>2018</v>
      </c>
      <c r="P65" s="1" t="s">
        <v>103</v>
      </c>
      <c r="Q65" s="1" t="s">
        <v>56</v>
      </c>
      <c r="R65" s="1" t="s">
        <v>57</v>
      </c>
    </row>
    <row r="66" spans="1:18" x14ac:dyDescent="0.25">
      <c r="A66" s="1" t="s">
        <v>18</v>
      </c>
      <c r="B66" s="1" t="s">
        <v>46</v>
      </c>
      <c r="C66" s="1" t="s">
        <v>47</v>
      </c>
      <c r="D66" s="1" t="s">
        <v>21</v>
      </c>
      <c r="E66">
        <v>53.78</v>
      </c>
      <c r="F66">
        <v>20.494199999999999</v>
      </c>
      <c r="G66" s="1" t="s">
        <v>31</v>
      </c>
      <c r="H66" s="1" t="s">
        <v>32</v>
      </c>
      <c r="I66" s="1" t="s">
        <v>188</v>
      </c>
      <c r="J66" s="1" t="s">
        <v>117</v>
      </c>
      <c r="K66">
        <v>10</v>
      </c>
      <c r="L66">
        <v>686</v>
      </c>
      <c r="M66">
        <f t="shared" si="0"/>
        <v>6860</v>
      </c>
      <c r="N66" s="1" t="s">
        <v>26</v>
      </c>
      <c r="O66">
        <v>2018</v>
      </c>
      <c r="P66" s="1" t="s">
        <v>40</v>
      </c>
      <c r="Q66" s="1" t="s">
        <v>41</v>
      </c>
      <c r="R66" s="1" t="s">
        <v>42</v>
      </c>
    </row>
    <row r="67" spans="1:18" x14ac:dyDescent="0.25">
      <c r="A67" s="1" t="s">
        <v>18</v>
      </c>
      <c r="B67" s="1" t="s">
        <v>189</v>
      </c>
      <c r="C67" s="1" t="s">
        <v>190</v>
      </c>
      <c r="D67" s="1" t="s">
        <v>21</v>
      </c>
      <c r="E67">
        <v>54.441899999999997</v>
      </c>
      <c r="F67">
        <v>18.547799999999999</v>
      </c>
      <c r="G67" s="1" t="s">
        <v>22</v>
      </c>
      <c r="H67" s="1" t="s">
        <v>23</v>
      </c>
      <c r="I67" s="1" t="s">
        <v>191</v>
      </c>
      <c r="J67" s="1" t="s">
        <v>117</v>
      </c>
      <c r="K67">
        <v>20</v>
      </c>
      <c r="L67">
        <v>206</v>
      </c>
      <c r="M67">
        <f t="shared" ref="M67:M130" si="1">SUM(K67*L67)</f>
        <v>4120</v>
      </c>
      <c r="N67" s="1" t="s">
        <v>26</v>
      </c>
      <c r="O67">
        <v>2018</v>
      </c>
      <c r="P67" s="1" t="s">
        <v>35</v>
      </c>
      <c r="Q67" s="1" t="s">
        <v>28</v>
      </c>
      <c r="R67" s="1" t="s">
        <v>29</v>
      </c>
    </row>
    <row r="68" spans="1:18" x14ac:dyDescent="0.25">
      <c r="A68" s="1" t="s">
        <v>18</v>
      </c>
      <c r="B68" s="1" t="s">
        <v>192</v>
      </c>
      <c r="C68" s="1" t="s">
        <v>193</v>
      </c>
      <c r="D68" s="1" t="s">
        <v>21</v>
      </c>
      <c r="E68">
        <v>51.305</v>
      </c>
      <c r="F68">
        <v>17.061399999999999</v>
      </c>
      <c r="G68" s="1" t="s">
        <v>22</v>
      </c>
      <c r="H68" s="1" t="s">
        <v>74</v>
      </c>
      <c r="I68" s="1" t="s">
        <v>79</v>
      </c>
      <c r="J68" s="1" t="s">
        <v>80</v>
      </c>
      <c r="K68">
        <v>15</v>
      </c>
      <c r="L68">
        <v>249</v>
      </c>
      <c r="M68">
        <f t="shared" si="1"/>
        <v>3735</v>
      </c>
      <c r="N68" s="1" t="s">
        <v>26</v>
      </c>
      <c r="O68">
        <v>2018</v>
      </c>
      <c r="P68" s="1" t="s">
        <v>71</v>
      </c>
      <c r="Q68" s="1" t="s">
        <v>41</v>
      </c>
      <c r="R68" s="1" t="s">
        <v>42</v>
      </c>
    </row>
    <row r="69" spans="1:18" x14ac:dyDescent="0.25">
      <c r="A69" s="1" t="s">
        <v>18</v>
      </c>
      <c r="B69" s="1" t="s">
        <v>194</v>
      </c>
      <c r="C69" s="1" t="s">
        <v>195</v>
      </c>
      <c r="D69" s="1" t="s">
        <v>21</v>
      </c>
      <c r="E69">
        <v>50.473799999999997</v>
      </c>
      <c r="F69">
        <v>17.334399999999999</v>
      </c>
      <c r="G69" s="1" t="s">
        <v>31</v>
      </c>
      <c r="H69" s="1" t="s">
        <v>32</v>
      </c>
      <c r="I69" s="1" t="s">
        <v>196</v>
      </c>
      <c r="J69" s="1" t="s">
        <v>80</v>
      </c>
      <c r="K69">
        <v>4</v>
      </c>
      <c r="L69">
        <v>26</v>
      </c>
      <c r="M69">
        <f t="shared" si="1"/>
        <v>104</v>
      </c>
      <c r="N69" s="1" t="s">
        <v>26</v>
      </c>
      <c r="O69">
        <v>2018</v>
      </c>
      <c r="P69" s="1" t="s">
        <v>95</v>
      </c>
      <c r="Q69" s="1" t="s">
        <v>67</v>
      </c>
      <c r="R69" s="1" t="s">
        <v>68</v>
      </c>
    </row>
    <row r="70" spans="1:18" x14ac:dyDescent="0.25">
      <c r="A70" s="1" t="s">
        <v>18</v>
      </c>
      <c r="B70" s="1" t="s">
        <v>114</v>
      </c>
      <c r="C70" s="1" t="s">
        <v>556</v>
      </c>
      <c r="D70" s="1" t="s">
        <v>21</v>
      </c>
      <c r="E70">
        <v>52.183300000000003</v>
      </c>
      <c r="F70">
        <v>20.85</v>
      </c>
      <c r="G70" s="1" t="s">
        <v>22</v>
      </c>
      <c r="H70" s="1" t="s">
        <v>23</v>
      </c>
      <c r="I70" s="1" t="s">
        <v>197</v>
      </c>
      <c r="J70" s="1" t="s">
        <v>25</v>
      </c>
      <c r="K70">
        <v>5</v>
      </c>
      <c r="L70">
        <v>201</v>
      </c>
      <c r="M70">
        <f t="shared" si="1"/>
        <v>1005</v>
      </c>
      <c r="N70" s="1" t="s">
        <v>26</v>
      </c>
      <c r="O70">
        <v>2018</v>
      </c>
      <c r="P70" s="1" t="s">
        <v>106</v>
      </c>
      <c r="Q70" s="1" t="s">
        <v>67</v>
      </c>
      <c r="R70" s="1" t="s">
        <v>68</v>
      </c>
    </row>
    <row r="71" spans="1:18" x14ac:dyDescent="0.25">
      <c r="A71" s="1" t="s">
        <v>18</v>
      </c>
      <c r="B71" s="1" t="s">
        <v>198</v>
      </c>
      <c r="C71" s="1" t="s">
        <v>581</v>
      </c>
      <c r="D71" s="1" t="s">
        <v>21</v>
      </c>
      <c r="E71">
        <v>52.333300000000001</v>
      </c>
      <c r="F71">
        <v>16.883299999999998</v>
      </c>
      <c r="G71" s="1" t="s">
        <v>22</v>
      </c>
      <c r="H71" s="1" t="s">
        <v>23</v>
      </c>
      <c r="I71" s="1" t="s">
        <v>44</v>
      </c>
      <c r="J71" s="1" t="s">
        <v>45</v>
      </c>
      <c r="K71">
        <v>2</v>
      </c>
      <c r="L71">
        <v>435</v>
      </c>
      <c r="M71">
        <f t="shared" si="1"/>
        <v>870</v>
      </c>
      <c r="N71" s="1" t="s">
        <v>156</v>
      </c>
      <c r="O71">
        <v>2018</v>
      </c>
      <c r="P71" s="1" t="s">
        <v>55</v>
      </c>
      <c r="Q71" s="1" t="s">
        <v>56</v>
      </c>
      <c r="R71" s="1" t="s">
        <v>57</v>
      </c>
    </row>
    <row r="72" spans="1:18" x14ac:dyDescent="0.25">
      <c r="A72" s="1" t="s">
        <v>18</v>
      </c>
      <c r="B72" s="1" t="s">
        <v>138</v>
      </c>
      <c r="C72" s="1" t="s">
        <v>563</v>
      </c>
      <c r="D72" s="1" t="s">
        <v>21</v>
      </c>
      <c r="E72">
        <v>53.2667</v>
      </c>
      <c r="F72">
        <v>16.466699999999999</v>
      </c>
      <c r="G72" s="1" t="s">
        <v>22</v>
      </c>
      <c r="H72" s="1" t="s">
        <v>74</v>
      </c>
      <c r="I72" s="1" t="s">
        <v>161</v>
      </c>
      <c r="J72" s="1" t="s">
        <v>25</v>
      </c>
      <c r="K72">
        <v>6</v>
      </c>
      <c r="L72">
        <v>488</v>
      </c>
      <c r="M72">
        <f t="shared" si="1"/>
        <v>2928</v>
      </c>
      <c r="N72" s="1" t="s">
        <v>26</v>
      </c>
      <c r="O72">
        <v>2018</v>
      </c>
      <c r="P72" s="1" t="s">
        <v>50</v>
      </c>
      <c r="Q72" s="1" t="s">
        <v>28</v>
      </c>
      <c r="R72" s="1" t="s">
        <v>29</v>
      </c>
    </row>
    <row r="73" spans="1:18" x14ac:dyDescent="0.25">
      <c r="A73" s="1" t="s">
        <v>18</v>
      </c>
      <c r="B73" s="1" t="s">
        <v>199</v>
      </c>
      <c r="C73" s="1" t="s">
        <v>582</v>
      </c>
      <c r="D73" s="1" t="s">
        <v>21</v>
      </c>
      <c r="E73">
        <v>52.2453</v>
      </c>
      <c r="F73">
        <v>19.6236</v>
      </c>
      <c r="G73" s="1" t="s">
        <v>22</v>
      </c>
      <c r="H73" s="1" t="s">
        <v>74</v>
      </c>
      <c r="I73" s="1" t="s">
        <v>200</v>
      </c>
      <c r="J73" s="1" t="s">
        <v>45</v>
      </c>
      <c r="K73">
        <v>10</v>
      </c>
      <c r="L73">
        <v>179</v>
      </c>
      <c r="M73">
        <f t="shared" si="1"/>
        <v>1790</v>
      </c>
      <c r="N73" s="1" t="s">
        <v>26</v>
      </c>
      <c r="O73">
        <v>2018</v>
      </c>
      <c r="P73" s="1" t="s">
        <v>66</v>
      </c>
      <c r="Q73" s="1" t="s">
        <v>67</v>
      </c>
      <c r="R73" s="1" t="s">
        <v>68</v>
      </c>
    </row>
    <row r="74" spans="1:18" x14ac:dyDescent="0.25">
      <c r="A74" s="1" t="s">
        <v>18</v>
      </c>
      <c r="B74" s="1" t="s">
        <v>177</v>
      </c>
      <c r="C74" s="1" t="s">
        <v>178</v>
      </c>
      <c r="D74" s="1" t="s">
        <v>21</v>
      </c>
      <c r="E74">
        <v>53.252400000000002</v>
      </c>
      <c r="F74">
        <v>14.488300000000001</v>
      </c>
      <c r="G74" s="1" t="s">
        <v>22</v>
      </c>
      <c r="H74" s="1" t="s">
        <v>74</v>
      </c>
      <c r="I74" s="1" t="s">
        <v>201</v>
      </c>
      <c r="J74" s="1" t="s">
        <v>45</v>
      </c>
      <c r="K74">
        <v>6</v>
      </c>
      <c r="L74">
        <v>682</v>
      </c>
      <c r="M74">
        <f t="shared" si="1"/>
        <v>4092</v>
      </c>
      <c r="N74" s="1" t="s">
        <v>26</v>
      </c>
      <c r="O74">
        <v>2018</v>
      </c>
      <c r="P74" s="1" t="s">
        <v>27</v>
      </c>
      <c r="Q74" s="1" t="s">
        <v>28</v>
      </c>
      <c r="R74" s="1" t="s">
        <v>29</v>
      </c>
    </row>
    <row r="75" spans="1:18" x14ac:dyDescent="0.25">
      <c r="A75" s="1" t="s">
        <v>18</v>
      </c>
      <c r="B75" s="1" t="s">
        <v>183</v>
      </c>
      <c r="C75" s="1" t="s">
        <v>184</v>
      </c>
      <c r="D75" s="1" t="s">
        <v>21</v>
      </c>
      <c r="E75">
        <v>50.583300000000001</v>
      </c>
      <c r="F75">
        <v>21.683299999999999</v>
      </c>
      <c r="G75" s="1" t="s">
        <v>31</v>
      </c>
      <c r="H75" s="1" t="s">
        <v>32</v>
      </c>
      <c r="I75" s="1" t="s">
        <v>202</v>
      </c>
      <c r="J75" s="1" t="s">
        <v>34</v>
      </c>
      <c r="K75">
        <v>3</v>
      </c>
      <c r="L75">
        <v>497</v>
      </c>
      <c r="M75">
        <f t="shared" si="1"/>
        <v>1491</v>
      </c>
      <c r="N75" s="1" t="s">
        <v>26</v>
      </c>
      <c r="O75">
        <v>2018</v>
      </c>
      <c r="P75" s="1" t="s">
        <v>77</v>
      </c>
      <c r="Q75" s="1" t="s">
        <v>56</v>
      </c>
      <c r="R75" s="1" t="s">
        <v>57</v>
      </c>
    </row>
    <row r="76" spans="1:18" x14ac:dyDescent="0.25">
      <c r="A76" s="1" t="s">
        <v>18</v>
      </c>
      <c r="B76" s="1" t="s">
        <v>114</v>
      </c>
      <c r="C76" s="1" t="s">
        <v>556</v>
      </c>
      <c r="D76" s="1" t="s">
        <v>21</v>
      </c>
      <c r="E76">
        <v>52.183300000000003</v>
      </c>
      <c r="F76">
        <v>20.85</v>
      </c>
      <c r="G76" s="1" t="s">
        <v>22</v>
      </c>
      <c r="H76" s="1" t="s">
        <v>23</v>
      </c>
      <c r="I76" s="1" t="s">
        <v>203</v>
      </c>
      <c r="J76" s="1" t="s">
        <v>80</v>
      </c>
      <c r="K76">
        <v>10</v>
      </c>
      <c r="L76">
        <v>269</v>
      </c>
      <c r="M76">
        <f t="shared" si="1"/>
        <v>2690</v>
      </c>
      <c r="N76" s="1" t="s">
        <v>26</v>
      </c>
      <c r="O76">
        <v>2018</v>
      </c>
      <c r="P76" s="1" t="s">
        <v>40</v>
      </c>
      <c r="Q76" s="1" t="s">
        <v>41</v>
      </c>
      <c r="R76" s="1" t="s">
        <v>42</v>
      </c>
    </row>
    <row r="77" spans="1:18" x14ac:dyDescent="0.25">
      <c r="A77" s="1" t="s">
        <v>18</v>
      </c>
      <c r="B77" s="1" t="s">
        <v>204</v>
      </c>
      <c r="C77" s="1" t="s">
        <v>583</v>
      </c>
      <c r="D77" s="1" t="s">
        <v>21</v>
      </c>
      <c r="E77">
        <v>51.2667</v>
      </c>
      <c r="F77">
        <v>15.933299999999999</v>
      </c>
      <c r="G77" s="1" t="s">
        <v>31</v>
      </c>
      <c r="H77" s="1" t="s">
        <v>38</v>
      </c>
      <c r="I77" s="1" t="s">
        <v>205</v>
      </c>
      <c r="J77" s="1" t="s">
        <v>80</v>
      </c>
      <c r="K77">
        <v>2</v>
      </c>
      <c r="L77">
        <v>284</v>
      </c>
      <c r="M77">
        <f t="shared" si="1"/>
        <v>568</v>
      </c>
      <c r="N77" s="1" t="s">
        <v>156</v>
      </c>
      <c r="O77">
        <v>2018</v>
      </c>
      <c r="P77" s="1" t="s">
        <v>103</v>
      </c>
      <c r="Q77" s="1" t="s">
        <v>56</v>
      </c>
      <c r="R77" s="1" t="s">
        <v>57</v>
      </c>
    </row>
    <row r="78" spans="1:18" x14ac:dyDescent="0.25">
      <c r="A78" s="1" t="s">
        <v>18</v>
      </c>
      <c r="B78" s="1" t="s">
        <v>206</v>
      </c>
      <c r="C78" s="1" t="s">
        <v>584</v>
      </c>
      <c r="D78" s="1" t="s">
        <v>21</v>
      </c>
      <c r="E78">
        <v>52.124299999999998</v>
      </c>
      <c r="F78">
        <v>20.665400000000002</v>
      </c>
      <c r="G78" s="1" t="s">
        <v>31</v>
      </c>
      <c r="H78" s="1" t="s">
        <v>32</v>
      </c>
      <c r="I78" s="1" t="s">
        <v>207</v>
      </c>
      <c r="J78" s="1" t="s">
        <v>45</v>
      </c>
      <c r="K78">
        <v>10</v>
      </c>
      <c r="L78">
        <v>624</v>
      </c>
      <c r="M78">
        <f t="shared" si="1"/>
        <v>6240</v>
      </c>
      <c r="N78" s="1" t="s">
        <v>26</v>
      </c>
      <c r="O78">
        <v>2018</v>
      </c>
      <c r="P78" s="1" t="s">
        <v>50</v>
      </c>
      <c r="Q78" s="1" t="s">
        <v>28</v>
      </c>
      <c r="R78" s="1" t="s">
        <v>29</v>
      </c>
    </row>
    <row r="79" spans="1:18" x14ac:dyDescent="0.25">
      <c r="A79" s="1" t="s">
        <v>18</v>
      </c>
      <c r="B79" s="1" t="s">
        <v>208</v>
      </c>
      <c r="C79" s="1" t="s">
        <v>209</v>
      </c>
      <c r="D79" s="1" t="s">
        <v>21</v>
      </c>
      <c r="E79">
        <v>53.562800000000003</v>
      </c>
      <c r="F79">
        <v>20.985299999999999</v>
      </c>
      <c r="G79" s="1" t="s">
        <v>22</v>
      </c>
      <c r="H79" s="1" t="s">
        <v>74</v>
      </c>
      <c r="I79" s="1" t="s">
        <v>210</v>
      </c>
      <c r="J79" s="1" t="s">
        <v>45</v>
      </c>
      <c r="K79">
        <v>4</v>
      </c>
      <c r="L79">
        <v>746</v>
      </c>
      <c r="M79">
        <f t="shared" si="1"/>
        <v>2984</v>
      </c>
      <c r="N79" s="1" t="s">
        <v>26</v>
      </c>
      <c r="O79">
        <v>2018</v>
      </c>
      <c r="P79" s="1" t="s">
        <v>95</v>
      </c>
      <c r="Q79" s="1" t="s">
        <v>67</v>
      </c>
      <c r="R79" s="1" t="s">
        <v>68</v>
      </c>
    </row>
    <row r="80" spans="1:18" x14ac:dyDescent="0.25">
      <c r="A80" s="1" t="s">
        <v>18</v>
      </c>
      <c r="B80" s="1" t="s">
        <v>211</v>
      </c>
      <c r="C80" s="1" t="s">
        <v>212</v>
      </c>
      <c r="D80" s="1" t="s">
        <v>21</v>
      </c>
      <c r="E80">
        <v>52.183300000000003</v>
      </c>
      <c r="F80">
        <v>22.283300000000001</v>
      </c>
      <c r="G80" s="1" t="s">
        <v>31</v>
      </c>
      <c r="H80" s="1" t="s">
        <v>32</v>
      </c>
      <c r="I80" s="1" t="s">
        <v>213</v>
      </c>
      <c r="J80" s="1" t="s">
        <v>88</v>
      </c>
      <c r="K80">
        <v>5</v>
      </c>
      <c r="L80">
        <v>628</v>
      </c>
      <c r="M80">
        <f t="shared" si="1"/>
        <v>3140</v>
      </c>
      <c r="N80" s="1" t="s">
        <v>26</v>
      </c>
      <c r="O80">
        <v>2018</v>
      </c>
      <c r="P80" s="1" t="s">
        <v>50</v>
      </c>
      <c r="Q80" s="1" t="s">
        <v>28</v>
      </c>
      <c r="R80" s="1" t="s">
        <v>29</v>
      </c>
    </row>
    <row r="81" spans="1:18" x14ac:dyDescent="0.25">
      <c r="A81" s="1" t="s">
        <v>18</v>
      </c>
      <c r="B81" s="1" t="s">
        <v>214</v>
      </c>
      <c r="C81" s="1" t="s">
        <v>585</v>
      </c>
      <c r="D81" s="1" t="s">
        <v>21</v>
      </c>
      <c r="E81">
        <v>53.116700000000002</v>
      </c>
      <c r="F81">
        <v>23.166699999999999</v>
      </c>
      <c r="G81" s="1" t="s">
        <v>31</v>
      </c>
      <c r="H81" s="1" t="s">
        <v>32</v>
      </c>
      <c r="I81" s="1" t="s">
        <v>215</v>
      </c>
      <c r="J81" s="1" t="s">
        <v>80</v>
      </c>
      <c r="K81">
        <v>20</v>
      </c>
      <c r="L81">
        <v>137</v>
      </c>
      <c r="M81">
        <f t="shared" si="1"/>
        <v>2740</v>
      </c>
      <c r="N81" s="1" t="s">
        <v>26</v>
      </c>
      <c r="O81">
        <v>2018</v>
      </c>
      <c r="P81" s="1" t="s">
        <v>106</v>
      </c>
      <c r="Q81" s="1" t="s">
        <v>67</v>
      </c>
      <c r="R81" s="1" t="s">
        <v>68</v>
      </c>
    </row>
    <row r="82" spans="1:18" x14ac:dyDescent="0.25">
      <c r="A82" s="1" t="s">
        <v>18</v>
      </c>
      <c r="B82" s="1" t="s">
        <v>216</v>
      </c>
      <c r="C82" s="1" t="s">
        <v>586</v>
      </c>
      <c r="D82" s="1" t="s">
        <v>21</v>
      </c>
      <c r="E82">
        <v>52.702500000000001</v>
      </c>
      <c r="F82">
        <v>21.082799999999999</v>
      </c>
      <c r="G82" s="1" t="s">
        <v>22</v>
      </c>
      <c r="H82" s="1" t="s">
        <v>23</v>
      </c>
      <c r="I82" s="1" t="s">
        <v>217</v>
      </c>
      <c r="J82" s="1" t="s">
        <v>80</v>
      </c>
      <c r="K82">
        <v>20</v>
      </c>
      <c r="L82">
        <v>627</v>
      </c>
      <c r="M82">
        <f t="shared" si="1"/>
        <v>12540</v>
      </c>
      <c r="N82" s="1" t="s">
        <v>26</v>
      </c>
      <c r="O82">
        <v>2018</v>
      </c>
      <c r="P82" s="1" t="s">
        <v>66</v>
      </c>
      <c r="Q82" s="1" t="s">
        <v>67</v>
      </c>
      <c r="R82" s="1" t="s">
        <v>68</v>
      </c>
    </row>
    <row r="83" spans="1:18" x14ac:dyDescent="0.25">
      <c r="A83" s="1" t="s">
        <v>18</v>
      </c>
      <c r="B83" s="1" t="s">
        <v>58</v>
      </c>
      <c r="C83" s="1" t="s">
        <v>543</v>
      </c>
      <c r="D83" s="1" t="s">
        <v>218</v>
      </c>
      <c r="E83">
        <v>52.7958</v>
      </c>
      <c r="F83">
        <v>18.261099999999999</v>
      </c>
      <c r="G83" s="1" t="s">
        <v>31</v>
      </c>
      <c r="H83" s="1" t="s">
        <v>32</v>
      </c>
      <c r="I83" s="1" t="s">
        <v>219</v>
      </c>
      <c r="J83" s="1" t="s">
        <v>117</v>
      </c>
      <c r="K83">
        <v>35</v>
      </c>
      <c r="L83">
        <v>713</v>
      </c>
      <c r="M83">
        <f t="shared" si="1"/>
        <v>24955</v>
      </c>
      <c r="N83" s="1" t="s">
        <v>26</v>
      </c>
      <c r="O83">
        <v>2018</v>
      </c>
      <c r="P83" s="1" t="s">
        <v>103</v>
      </c>
      <c r="Q83" s="1" t="s">
        <v>56</v>
      </c>
      <c r="R83" s="1" t="s">
        <v>57</v>
      </c>
    </row>
    <row r="84" spans="1:18" x14ac:dyDescent="0.25">
      <c r="A84" s="1" t="s">
        <v>18</v>
      </c>
      <c r="B84" s="1" t="s">
        <v>220</v>
      </c>
      <c r="C84" s="1" t="s">
        <v>587</v>
      </c>
      <c r="D84" s="1" t="s">
        <v>21</v>
      </c>
      <c r="E84">
        <v>50.323900000000002</v>
      </c>
      <c r="F84">
        <v>19.194700000000001</v>
      </c>
      <c r="G84" s="1" t="s">
        <v>22</v>
      </c>
      <c r="H84" s="1" t="s">
        <v>74</v>
      </c>
      <c r="I84" s="1" t="s">
        <v>102</v>
      </c>
      <c r="J84" s="1" t="s">
        <v>80</v>
      </c>
      <c r="K84">
        <v>24</v>
      </c>
      <c r="L84">
        <v>307</v>
      </c>
      <c r="M84">
        <f t="shared" si="1"/>
        <v>7368</v>
      </c>
      <c r="N84" s="1" t="s">
        <v>26</v>
      </c>
      <c r="O84">
        <v>2018</v>
      </c>
      <c r="P84" s="1" t="s">
        <v>106</v>
      </c>
      <c r="Q84" s="1" t="s">
        <v>67</v>
      </c>
      <c r="R84" s="1" t="s">
        <v>68</v>
      </c>
    </row>
    <row r="85" spans="1:18" x14ac:dyDescent="0.25">
      <c r="A85" s="1" t="s">
        <v>18</v>
      </c>
      <c r="B85" s="1" t="s">
        <v>221</v>
      </c>
      <c r="C85" s="1" t="s">
        <v>222</v>
      </c>
      <c r="D85" s="1" t="s">
        <v>21</v>
      </c>
      <c r="E85">
        <v>51.783299999999997</v>
      </c>
      <c r="F85">
        <v>21.2</v>
      </c>
      <c r="G85" s="1" t="s">
        <v>22</v>
      </c>
      <c r="H85" s="1" t="s">
        <v>23</v>
      </c>
      <c r="I85" s="1" t="s">
        <v>219</v>
      </c>
      <c r="J85" s="1" t="s">
        <v>117</v>
      </c>
      <c r="K85">
        <v>4</v>
      </c>
      <c r="L85">
        <v>713</v>
      </c>
      <c r="M85">
        <f t="shared" si="1"/>
        <v>2852</v>
      </c>
      <c r="N85" s="1" t="s">
        <v>26</v>
      </c>
      <c r="O85">
        <v>2018</v>
      </c>
      <c r="P85" s="1" t="s">
        <v>60</v>
      </c>
      <c r="Q85" s="1" t="s">
        <v>28</v>
      </c>
      <c r="R85" s="1" t="s">
        <v>29</v>
      </c>
    </row>
    <row r="86" spans="1:18" x14ac:dyDescent="0.25">
      <c r="A86" s="1" t="s">
        <v>18</v>
      </c>
      <c r="B86" s="1" t="s">
        <v>223</v>
      </c>
      <c r="C86" s="1" t="s">
        <v>224</v>
      </c>
      <c r="D86" s="1" t="s">
        <v>21</v>
      </c>
      <c r="E86">
        <v>53.416699999999999</v>
      </c>
      <c r="F86">
        <v>19.583300000000001</v>
      </c>
      <c r="G86" s="1" t="s">
        <v>22</v>
      </c>
      <c r="H86" s="1" t="s">
        <v>74</v>
      </c>
      <c r="I86" s="1" t="s">
        <v>39</v>
      </c>
      <c r="J86" s="1" t="s">
        <v>34</v>
      </c>
      <c r="K86">
        <v>60</v>
      </c>
      <c r="L86">
        <v>66</v>
      </c>
      <c r="M86">
        <f t="shared" si="1"/>
        <v>3960</v>
      </c>
      <c r="N86" s="1" t="s">
        <v>26</v>
      </c>
      <c r="O86">
        <v>2018</v>
      </c>
      <c r="P86" s="1" t="s">
        <v>60</v>
      </c>
      <c r="Q86" s="1" t="s">
        <v>28</v>
      </c>
      <c r="R86" s="1" t="s">
        <v>29</v>
      </c>
    </row>
    <row r="87" spans="1:18" x14ac:dyDescent="0.25">
      <c r="A87" s="1" t="s">
        <v>18</v>
      </c>
      <c r="B87" s="1" t="s">
        <v>159</v>
      </c>
      <c r="C87" s="1" t="s">
        <v>160</v>
      </c>
      <c r="D87" s="1" t="s">
        <v>21</v>
      </c>
      <c r="E87">
        <v>53.755800000000001</v>
      </c>
      <c r="F87">
        <v>19.197500000000002</v>
      </c>
      <c r="G87" s="1" t="s">
        <v>22</v>
      </c>
      <c r="H87" s="1" t="s">
        <v>74</v>
      </c>
      <c r="I87" s="1" t="s">
        <v>219</v>
      </c>
      <c r="J87" s="1" t="s">
        <v>117</v>
      </c>
      <c r="K87">
        <v>5</v>
      </c>
      <c r="L87">
        <v>713</v>
      </c>
      <c r="M87">
        <f t="shared" si="1"/>
        <v>3565</v>
      </c>
      <c r="N87" s="1" t="s">
        <v>26</v>
      </c>
      <c r="O87">
        <v>2018</v>
      </c>
      <c r="P87" s="1" t="s">
        <v>81</v>
      </c>
      <c r="Q87" s="1" t="s">
        <v>41</v>
      </c>
      <c r="R87" s="1" t="s">
        <v>42</v>
      </c>
    </row>
    <row r="88" spans="1:18" x14ac:dyDescent="0.25">
      <c r="A88" s="1" t="s">
        <v>18</v>
      </c>
      <c r="B88" s="1" t="s">
        <v>225</v>
      </c>
      <c r="C88" s="1" t="s">
        <v>588</v>
      </c>
      <c r="D88" s="1" t="s">
        <v>218</v>
      </c>
      <c r="E88">
        <v>51.4</v>
      </c>
      <c r="F88">
        <v>19.683299999999999</v>
      </c>
      <c r="G88" s="1" t="s">
        <v>22</v>
      </c>
      <c r="H88" s="1" t="s">
        <v>23</v>
      </c>
      <c r="I88" s="1" t="s">
        <v>226</v>
      </c>
      <c r="J88" s="1" t="s">
        <v>88</v>
      </c>
      <c r="K88">
        <v>15</v>
      </c>
      <c r="L88">
        <v>610</v>
      </c>
      <c r="M88">
        <f t="shared" si="1"/>
        <v>9150</v>
      </c>
      <c r="N88" s="1" t="s">
        <v>26</v>
      </c>
      <c r="O88">
        <v>2018</v>
      </c>
      <c r="P88" s="1" t="s">
        <v>103</v>
      </c>
      <c r="Q88" s="1" t="s">
        <v>56</v>
      </c>
      <c r="R88" s="1" t="s">
        <v>57</v>
      </c>
    </row>
    <row r="89" spans="1:18" x14ac:dyDescent="0.25">
      <c r="A89" s="1" t="s">
        <v>18</v>
      </c>
      <c r="B89" s="1" t="s">
        <v>227</v>
      </c>
      <c r="C89" s="1" t="s">
        <v>228</v>
      </c>
      <c r="D89" s="1" t="s">
        <v>21</v>
      </c>
      <c r="E89">
        <v>50.672199999999997</v>
      </c>
      <c r="F89">
        <v>17.9253</v>
      </c>
      <c r="G89" s="1" t="s">
        <v>31</v>
      </c>
      <c r="H89" s="1" t="s">
        <v>32</v>
      </c>
      <c r="I89" s="1" t="s">
        <v>229</v>
      </c>
      <c r="J89" s="1" t="s">
        <v>80</v>
      </c>
      <c r="K89">
        <v>10</v>
      </c>
      <c r="L89">
        <v>794</v>
      </c>
      <c r="M89">
        <f t="shared" si="1"/>
        <v>7940</v>
      </c>
      <c r="N89" s="1" t="s">
        <v>26</v>
      </c>
      <c r="O89">
        <v>2018</v>
      </c>
      <c r="P89" s="1" t="s">
        <v>66</v>
      </c>
      <c r="Q89" s="1" t="s">
        <v>67</v>
      </c>
      <c r="R89" s="1" t="s">
        <v>68</v>
      </c>
    </row>
    <row r="90" spans="1:18" x14ac:dyDescent="0.25">
      <c r="A90" s="1" t="s">
        <v>18</v>
      </c>
      <c r="B90" s="1" t="s">
        <v>126</v>
      </c>
      <c r="C90" s="1" t="s">
        <v>127</v>
      </c>
      <c r="D90" s="1" t="s">
        <v>21</v>
      </c>
      <c r="E90">
        <v>50.475099999999998</v>
      </c>
      <c r="F90">
        <v>17.965399999999999</v>
      </c>
      <c r="G90" s="1" t="s">
        <v>31</v>
      </c>
      <c r="H90" s="1" t="s">
        <v>38</v>
      </c>
      <c r="I90" s="1" t="s">
        <v>97</v>
      </c>
      <c r="J90" s="1" t="s">
        <v>80</v>
      </c>
      <c r="K90">
        <v>4</v>
      </c>
      <c r="L90">
        <v>288</v>
      </c>
      <c r="M90">
        <f t="shared" si="1"/>
        <v>1152</v>
      </c>
      <c r="N90" s="1" t="s">
        <v>26</v>
      </c>
      <c r="O90">
        <v>2018</v>
      </c>
      <c r="P90" s="1" t="s">
        <v>50</v>
      </c>
      <c r="Q90" s="1" t="s">
        <v>28</v>
      </c>
      <c r="R90" s="1" t="s">
        <v>29</v>
      </c>
    </row>
    <row r="91" spans="1:18" x14ac:dyDescent="0.25">
      <c r="A91" s="1" t="s">
        <v>18</v>
      </c>
      <c r="B91" s="1" t="s">
        <v>230</v>
      </c>
      <c r="C91" s="1" t="s">
        <v>589</v>
      </c>
      <c r="D91" s="1" t="s">
        <v>21</v>
      </c>
      <c r="E91">
        <v>51.9833</v>
      </c>
      <c r="F91">
        <v>22.8</v>
      </c>
      <c r="G91" s="1" t="s">
        <v>31</v>
      </c>
      <c r="H91" s="1" t="s">
        <v>32</v>
      </c>
      <c r="I91" s="1" t="s">
        <v>131</v>
      </c>
      <c r="J91" s="1" t="s">
        <v>117</v>
      </c>
      <c r="K91">
        <v>2</v>
      </c>
      <c r="L91">
        <v>164</v>
      </c>
      <c r="M91">
        <f t="shared" si="1"/>
        <v>328</v>
      </c>
      <c r="N91" s="1" t="s">
        <v>26</v>
      </c>
      <c r="O91">
        <v>2018</v>
      </c>
      <c r="P91" s="1" t="s">
        <v>40</v>
      </c>
      <c r="Q91" s="1" t="s">
        <v>41</v>
      </c>
      <c r="R91" s="1" t="s">
        <v>42</v>
      </c>
    </row>
    <row r="92" spans="1:18" x14ac:dyDescent="0.25">
      <c r="A92" s="1" t="s">
        <v>18</v>
      </c>
      <c r="B92" s="1" t="s">
        <v>231</v>
      </c>
      <c r="C92" s="1" t="s">
        <v>590</v>
      </c>
      <c r="D92" s="1" t="s">
        <v>21</v>
      </c>
      <c r="E92">
        <v>52.253100000000003</v>
      </c>
      <c r="F92">
        <v>15.9178</v>
      </c>
      <c r="G92" s="1" t="s">
        <v>22</v>
      </c>
      <c r="H92" s="1" t="s">
        <v>23</v>
      </c>
      <c r="I92" s="1" t="s">
        <v>232</v>
      </c>
      <c r="J92" s="1" t="s">
        <v>80</v>
      </c>
      <c r="K92">
        <v>5</v>
      </c>
      <c r="L92">
        <v>659</v>
      </c>
      <c r="M92">
        <f t="shared" si="1"/>
        <v>3295</v>
      </c>
      <c r="N92" s="1" t="s">
        <v>26</v>
      </c>
      <c r="O92">
        <v>2018</v>
      </c>
      <c r="P92" s="1" t="s">
        <v>77</v>
      </c>
      <c r="Q92" s="1" t="s">
        <v>56</v>
      </c>
      <c r="R92" s="1" t="s">
        <v>57</v>
      </c>
    </row>
    <row r="93" spans="1:18" x14ac:dyDescent="0.25">
      <c r="A93" s="1" t="s">
        <v>18</v>
      </c>
      <c r="B93" s="1" t="s">
        <v>233</v>
      </c>
      <c r="C93" s="1" t="s">
        <v>234</v>
      </c>
      <c r="D93" s="1" t="s">
        <v>21</v>
      </c>
      <c r="E93">
        <v>54.383299999999998</v>
      </c>
      <c r="F93">
        <v>19.833300000000001</v>
      </c>
      <c r="G93" s="1" t="s">
        <v>31</v>
      </c>
      <c r="H93" s="1" t="s">
        <v>32</v>
      </c>
      <c r="I93" s="1" t="s">
        <v>235</v>
      </c>
      <c r="J93" s="1" t="s">
        <v>88</v>
      </c>
      <c r="K93">
        <v>6</v>
      </c>
      <c r="L93">
        <v>385</v>
      </c>
      <c r="M93">
        <f t="shared" si="1"/>
        <v>2310</v>
      </c>
      <c r="N93" s="1" t="s">
        <v>156</v>
      </c>
      <c r="O93">
        <v>2018</v>
      </c>
      <c r="P93" s="1" t="s">
        <v>66</v>
      </c>
      <c r="Q93" s="1" t="s">
        <v>67</v>
      </c>
      <c r="R93" s="1" t="s">
        <v>68</v>
      </c>
    </row>
    <row r="94" spans="1:18" x14ac:dyDescent="0.25">
      <c r="A94" s="1" t="s">
        <v>18</v>
      </c>
      <c r="B94" s="1" t="s">
        <v>236</v>
      </c>
      <c r="C94" s="1" t="s">
        <v>237</v>
      </c>
      <c r="D94" s="1" t="s">
        <v>21</v>
      </c>
      <c r="E94">
        <v>50.297600000000003</v>
      </c>
      <c r="F94">
        <v>18.676600000000001</v>
      </c>
      <c r="G94" s="1" t="s">
        <v>31</v>
      </c>
      <c r="H94" s="1" t="s">
        <v>32</v>
      </c>
      <c r="I94" s="1" t="s">
        <v>62</v>
      </c>
      <c r="J94" s="1" t="s">
        <v>25</v>
      </c>
      <c r="K94">
        <v>5</v>
      </c>
      <c r="L94">
        <v>742</v>
      </c>
      <c r="M94">
        <f t="shared" si="1"/>
        <v>3710</v>
      </c>
      <c r="N94" s="1" t="s">
        <v>26</v>
      </c>
      <c r="O94">
        <v>2018</v>
      </c>
      <c r="P94" s="1" t="s">
        <v>35</v>
      </c>
      <c r="Q94" s="1" t="s">
        <v>28</v>
      </c>
      <c r="R94" s="1" t="s">
        <v>29</v>
      </c>
    </row>
    <row r="95" spans="1:18" x14ac:dyDescent="0.25">
      <c r="A95" s="1" t="s">
        <v>18</v>
      </c>
      <c r="B95" s="1" t="s">
        <v>238</v>
      </c>
      <c r="C95" s="1" t="s">
        <v>239</v>
      </c>
      <c r="D95" s="1" t="s">
        <v>21</v>
      </c>
      <c r="E95">
        <v>49.75</v>
      </c>
      <c r="F95">
        <v>18.633299999999998</v>
      </c>
      <c r="G95" s="1" t="s">
        <v>31</v>
      </c>
      <c r="H95" s="1" t="s">
        <v>32</v>
      </c>
      <c r="I95" s="1" t="s">
        <v>131</v>
      </c>
      <c r="J95" s="1" t="s">
        <v>117</v>
      </c>
      <c r="K95">
        <v>3</v>
      </c>
      <c r="L95">
        <v>164</v>
      </c>
      <c r="M95">
        <f t="shared" si="1"/>
        <v>492</v>
      </c>
      <c r="N95" s="1" t="s">
        <v>26</v>
      </c>
      <c r="O95">
        <v>2018</v>
      </c>
      <c r="P95" s="1" t="s">
        <v>81</v>
      </c>
      <c r="Q95" s="1" t="s">
        <v>41</v>
      </c>
      <c r="R95" s="1" t="s">
        <v>42</v>
      </c>
    </row>
    <row r="96" spans="1:18" x14ac:dyDescent="0.25">
      <c r="A96" s="1" t="s">
        <v>18</v>
      </c>
      <c r="B96" s="1" t="s">
        <v>240</v>
      </c>
      <c r="C96" s="1" t="s">
        <v>241</v>
      </c>
      <c r="D96" s="1" t="s">
        <v>21</v>
      </c>
      <c r="E96">
        <v>51.8</v>
      </c>
      <c r="F96">
        <v>16.3</v>
      </c>
      <c r="G96" s="1" t="s">
        <v>22</v>
      </c>
      <c r="H96" s="1" t="s">
        <v>23</v>
      </c>
      <c r="I96" s="1" t="s">
        <v>242</v>
      </c>
      <c r="J96" s="1" t="s">
        <v>45</v>
      </c>
      <c r="K96">
        <v>10</v>
      </c>
      <c r="L96">
        <v>298</v>
      </c>
      <c r="M96">
        <f t="shared" si="1"/>
        <v>2980</v>
      </c>
      <c r="N96" s="1" t="s">
        <v>26</v>
      </c>
      <c r="O96">
        <v>2018</v>
      </c>
      <c r="P96" s="1" t="s">
        <v>95</v>
      </c>
      <c r="Q96" s="1" t="s">
        <v>67</v>
      </c>
      <c r="R96" s="1" t="s">
        <v>68</v>
      </c>
    </row>
    <row r="97" spans="1:18" x14ac:dyDescent="0.25">
      <c r="A97" s="1" t="s">
        <v>18</v>
      </c>
      <c r="B97" s="1" t="s">
        <v>243</v>
      </c>
      <c r="C97" s="1" t="s">
        <v>591</v>
      </c>
      <c r="D97" s="1" t="s">
        <v>21</v>
      </c>
      <c r="E97">
        <v>53.349200000000003</v>
      </c>
      <c r="F97">
        <v>18.426100000000002</v>
      </c>
      <c r="G97" s="1" t="s">
        <v>22</v>
      </c>
      <c r="H97" s="1" t="s">
        <v>23</v>
      </c>
      <c r="I97" s="1" t="s">
        <v>226</v>
      </c>
      <c r="J97" s="1" t="s">
        <v>88</v>
      </c>
      <c r="K97">
        <v>10</v>
      </c>
      <c r="L97">
        <v>610</v>
      </c>
      <c r="M97">
        <f t="shared" si="1"/>
        <v>6100</v>
      </c>
      <c r="N97" s="1" t="s">
        <v>26</v>
      </c>
      <c r="O97">
        <v>2018</v>
      </c>
      <c r="P97" s="1" t="s">
        <v>81</v>
      </c>
      <c r="Q97" s="1" t="s">
        <v>41</v>
      </c>
      <c r="R97" s="1" t="s">
        <v>42</v>
      </c>
    </row>
    <row r="98" spans="1:18" x14ac:dyDescent="0.25">
      <c r="A98" s="1" t="s">
        <v>18</v>
      </c>
      <c r="B98" s="1" t="s">
        <v>244</v>
      </c>
      <c r="C98" s="1" t="s">
        <v>592</v>
      </c>
      <c r="D98" s="1" t="s">
        <v>21</v>
      </c>
      <c r="E98">
        <v>50.313099999999999</v>
      </c>
      <c r="F98">
        <v>17.374199999999998</v>
      </c>
      <c r="G98" s="1" t="s">
        <v>22</v>
      </c>
      <c r="H98" s="1" t="s">
        <v>74</v>
      </c>
      <c r="I98" s="1" t="s">
        <v>245</v>
      </c>
      <c r="J98" s="1" t="s">
        <v>80</v>
      </c>
      <c r="K98">
        <v>3</v>
      </c>
      <c r="L98">
        <v>318</v>
      </c>
      <c r="M98">
        <f t="shared" si="1"/>
        <v>954</v>
      </c>
      <c r="N98" s="1" t="s">
        <v>26</v>
      </c>
      <c r="O98">
        <v>2018</v>
      </c>
      <c r="P98" s="1" t="s">
        <v>95</v>
      </c>
      <c r="Q98" s="1" t="s">
        <v>67</v>
      </c>
      <c r="R98" s="1" t="s">
        <v>68</v>
      </c>
    </row>
    <row r="99" spans="1:18" x14ac:dyDescent="0.25">
      <c r="A99" s="1" t="s">
        <v>18</v>
      </c>
      <c r="B99" s="1" t="s">
        <v>150</v>
      </c>
      <c r="C99" s="1" t="s">
        <v>569</v>
      </c>
      <c r="D99" s="1" t="s">
        <v>21</v>
      </c>
      <c r="E99">
        <v>54.166699999999999</v>
      </c>
      <c r="F99">
        <v>19.399999999999999</v>
      </c>
      <c r="G99" s="1" t="s">
        <v>31</v>
      </c>
      <c r="H99" s="1" t="s">
        <v>38</v>
      </c>
      <c r="I99" s="1" t="s">
        <v>246</v>
      </c>
      <c r="J99" s="1" t="s">
        <v>25</v>
      </c>
      <c r="K99">
        <v>6</v>
      </c>
      <c r="L99">
        <v>154</v>
      </c>
      <c r="M99">
        <f t="shared" si="1"/>
        <v>924</v>
      </c>
      <c r="N99" s="1" t="s">
        <v>26</v>
      </c>
      <c r="O99">
        <v>2018</v>
      </c>
      <c r="P99" s="1" t="s">
        <v>40</v>
      </c>
      <c r="Q99" s="1" t="s">
        <v>41</v>
      </c>
      <c r="R99" s="1" t="s">
        <v>42</v>
      </c>
    </row>
    <row r="100" spans="1:18" x14ac:dyDescent="0.25">
      <c r="A100" s="1" t="s">
        <v>18</v>
      </c>
      <c r="B100" s="1" t="s">
        <v>110</v>
      </c>
      <c r="C100" s="1" t="s">
        <v>554</v>
      </c>
      <c r="D100" s="1" t="s">
        <v>21</v>
      </c>
      <c r="E100">
        <v>51.2667</v>
      </c>
      <c r="F100">
        <v>15.566700000000001</v>
      </c>
      <c r="G100" s="1" t="s">
        <v>31</v>
      </c>
      <c r="H100" s="1" t="s">
        <v>32</v>
      </c>
      <c r="I100" s="1" t="s">
        <v>247</v>
      </c>
      <c r="J100" s="1" t="s">
        <v>25</v>
      </c>
      <c r="K100">
        <v>30</v>
      </c>
      <c r="L100">
        <v>708</v>
      </c>
      <c r="M100">
        <f t="shared" si="1"/>
        <v>21240</v>
      </c>
      <c r="N100" s="1" t="s">
        <v>26</v>
      </c>
      <c r="O100">
        <v>2018</v>
      </c>
      <c r="P100" s="1" t="s">
        <v>35</v>
      </c>
      <c r="Q100" s="1" t="s">
        <v>28</v>
      </c>
      <c r="R100" s="1" t="s">
        <v>29</v>
      </c>
    </row>
    <row r="101" spans="1:18" x14ac:dyDescent="0.25">
      <c r="A101" s="1" t="s">
        <v>18</v>
      </c>
      <c r="B101" s="1" t="s">
        <v>248</v>
      </c>
      <c r="C101" s="1" t="s">
        <v>593</v>
      </c>
      <c r="D101" s="1" t="s">
        <v>218</v>
      </c>
      <c r="E101">
        <v>53.816699999999997</v>
      </c>
      <c r="F101">
        <v>22.35</v>
      </c>
      <c r="G101" s="1" t="s">
        <v>31</v>
      </c>
      <c r="H101" s="1" t="s">
        <v>32</v>
      </c>
      <c r="I101" s="1" t="s">
        <v>249</v>
      </c>
      <c r="J101" s="1" t="s">
        <v>80</v>
      </c>
      <c r="K101">
        <v>4</v>
      </c>
      <c r="L101">
        <v>121</v>
      </c>
      <c r="M101">
        <f t="shared" si="1"/>
        <v>484</v>
      </c>
      <c r="N101" s="1" t="s">
        <v>26</v>
      </c>
      <c r="O101">
        <v>2018</v>
      </c>
      <c r="P101" s="1" t="s">
        <v>66</v>
      </c>
      <c r="Q101" s="1" t="s">
        <v>67</v>
      </c>
      <c r="R101" s="1" t="s">
        <v>68</v>
      </c>
    </row>
    <row r="102" spans="1:18" x14ac:dyDescent="0.25">
      <c r="A102" s="1" t="s">
        <v>18</v>
      </c>
      <c r="B102" s="1" t="s">
        <v>43</v>
      </c>
      <c r="C102" s="1" t="s">
        <v>542</v>
      </c>
      <c r="D102" s="1" t="s">
        <v>21</v>
      </c>
      <c r="E102">
        <v>50.333300000000001</v>
      </c>
      <c r="F102">
        <v>19.083300000000001</v>
      </c>
      <c r="G102" s="1" t="s">
        <v>22</v>
      </c>
      <c r="H102" s="1" t="s">
        <v>23</v>
      </c>
      <c r="I102" s="1" t="s">
        <v>250</v>
      </c>
      <c r="J102" s="1" t="s">
        <v>88</v>
      </c>
      <c r="K102">
        <v>5</v>
      </c>
      <c r="L102">
        <v>470</v>
      </c>
      <c r="M102">
        <f t="shared" si="1"/>
        <v>2350</v>
      </c>
      <c r="N102" s="1" t="s">
        <v>26</v>
      </c>
      <c r="O102">
        <v>2018</v>
      </c>
      <c r="P102" s="1" t="s">
        <v>60</v>
      </c>
      <c r="Q102" s="1" t="s">
        <v>28</v>
      </c>
      <c r="R102" s="1" t="s">
        <v>29</v>
      </c>
    </row>
    <row r="103" spans="1:18" x14ac:dyDescent="0.25">
      <c r="A103" s="1" t="s">
        <v>18</v>
      </c>
      <c r="B103" s="1" t="s">
        <v>225</v>
      </c>
      <c r="C103" s="1" t="s">
        <v>588</v>
      </c>
      <c r="D103" s="1" t="s">
        <v>21</v>
      </c>
      <c r="E103">
        <v>51.4</v>
      </c>
      <c r="F103">
        <v>19.683299999999999</v>
      </c>
      <c r="G103" s="1" t="s">
        <v>22</v>
      </c>
      <c r="H103" s="1" t="s">
        <v>23</v>
      </c>
      <c r="I103" s="1" t="s">
        <v>161</v>
      </c>
      <c r="J103" s="1" t="s">
        <v>25</v>
      </c>
      <c r="K103">
        <v>5</v>
      </c>
      <c r="L103">
        <v>488</v>
      </c>
      <c r="M103">
        <f t="shared" si="1"/>
        <v>2440</v>
      </c>
      <c r="N103" s="1" t="s">
        <v>26</v>
      </c>
      <c r="O103">
        <v>2018</v>
      </c>
      <c r="P103" s="1" t="s">
        <v>40</v>
      </c>
      <c r="Q103" s="1" t="s">
        <v>41</v>
      </c>
      <c r="R103" s="1" t="s">
        <v>42</v>
      </c>
    </row>
    <row r="104" spans="1:18" x14ac:dyDescent="0.25">
      <c r="A104" s="1" t="s">
        <v>18</v>
      </c>
      <c r="B104" s="1" t="s">
        <v>69</v>
      </c>
      <c r="C104" s="1" t="s">
        <v>545</v>
      </c>
      <c r="D104" s="1" t="s">
        <v>21</v>
      </c>
      <c r="E104">
        <v>50.061399999999999</v>
      </c>
      <c r="F104">
        <v>19.937200000000001</v>
      </c>
      <c r="G104" s="1" t="s">
        <v>22</v>
      </c>
      <c r="H104" s="1" t="s">
        <v>23</v>
      </c>
      <c r="I104" s="1" t="s">
        <v>251</v>
      </c>
      <c r="J104" s="1" t="s">
        <v>80</v>
      </c>
      <c r="K104">
        <v>10</v>
      </c>
      <c r="L104">
        <v>647</v>
      </c>
      <c r="M104">
        <f t="shared" si="1"/>
        <v>6470</v>
      </c>
      <c r="N104" s="1" t="s">
        <v>26</v>
      </c>
      <c r="O104">
        <v>2018</v>
      </c>
      <c r="P104" s="1" t="s">
        <v>71</v>
      </c>
      <c r="Q104" s="1" t="s">
        <v>41</v>
      </c>
      <c r="R104" s="1" t="s">
        <v>42</v>
      </c>
    </row>
    <row r="105" spans="1:18" x14ac:dyDescent="0.25">
      <c r="A105" s="1" t="s">
        <v>18</v>
      </c>
      <c r="B105" s="1" t="s">
        <v>252</v>
      </c>
      <c r="C105" s="1" t="s">
        <v>594</v>
      </c>
      <c r="D105" s="1" t="s">
        <v>21</v>
      </c>
      <c r="E105">
        <v>50.6</v>
      </c>
      <c r="F105">
        <v>17.0444</v>
      </c>
      <c r="G105" s="1" t="s">
        <v>22</v>
      </c>
      <c r="H105" s="1" t="s">
        <v>74</v>
      </c>
      <c r="I105" s="1" t="s">
        <v>253</v>
      </c>
      <c r="J105" s="1" t="s">
        <v>80</v>
      </c>
      <c r="K105">
        <v>6</v>
      </c>
      <c r="L105">
        <v>25</v>
      </c>
      <c r="M105">
        <f t="shared" si="1"/>
        <v>150</v>
      </c>
      <c r="N105" s="1" t="s">
        <v>26</v>
      </c>
      <c r="O105">
        <v>2018</v>
      </c>
      <c r="P105" s="1" t="s">
        <v>106</v>
      </c>
      <c r="Q105" s="1" t="s">
        <v>67</v>
      </c>
      <c r="R105" s="1" t="s">
        <v>68</v>
      </c>
    </row>
    <row r="106" spans="1:18" x14ac:dyDescent="0.25">
      <c r="A106" s="1" t="s">
        <v>18</v>
      </c>
      <c r="B106" s="1" t="s">
        <v>254</v>
      </c>
      <c r="C106" s="1" t="s">
        <v>255</v>
      </c>
      <c r="D106" s="1" t="s">
        <v>218</v>
      </c>
      <c r="E106">
        <v>51.383299999999998</v>
      </c>
      <c r="F106">
        <v>20.283300000000001</v>
      </c>
      <c r="G106" s="1" t="s">
        <v>31</v>
      </c>
      <c r="H106" s="1" t="s">
        <v>38</v>
      </c>
      <c r="I106" s="1" t="s">
        <v>256</v>
      </c>
      <c r="J106" s="1" t="s">
        <v>80</v>
      </c>
      <c r="K106">
        <v>6</v>
      </c>
      <c r="L106">
        <v>182</v>
      </c>
      <c r="M106">
        <f t="shared" si="1"/>
        <v>1092</v>
      </c>
      <c r="N106" s="1" t="s">
        <v>26</v>
      </c>
      <c r="O106">
        <v>2018</v>
      </c>
      <c r="P106" s="1" t="s">
        <v>40</v>
      </c>
      <c r="Q106" s="1" t="s">
        <v>41</v>
      </c>
      <c r="R106" s="1" t="s">
        <v>42</v>
      </c>
    </row>
    <row r="107" spans="1:18" x14ac:dyDescent="0.25">
      <c r="A107" s="1" t="s">
        <v>18</v>
      </c>
      <c r="B107" s="1" t="s">
        <v>257</v>
      </c>
      <c r="C107" s="1" t="s">
        <v>595</v>
      </c>
      <c r="D107" s="1" t="s">
        <v>21</v>
      </c>
      <c r="E107">
        <v>49.784999999999997</v>
      </c>
      <c r="F107">
        <v>22.767299999999999</v>
      </c>
      <c r="G107" s="1" t="s">
        <v>31</v>
      </c>
      <c r="H107" s="1" t="s">
        <v>38</v>
      </c>
      <c r="I107" s="1" t="s">
        <v>258</v>
      </c>
      <c r="J107" s="1" t="s">
        <v>25</v>
      </c>
      <c r="K107">
        <v>10</v>
      </c>
      <c r="L107">
        <v>130</v>
      </c>
      <c r="M107">
        <f t="shared" si="1"/>
        <v>1300</v>
      </c>
      <c r="N107" s="1" t="s">
        <v>26</v>
      </c>
      <c r="O107">
        <v>2018</v>
      </c>
      <c r="P107" s="1" t="s">
        <v>55</v>
      </c>
      <c r="Q107" s="1" t="s">
        <v>56</v>
      </c>
      <c r="R107" s="1" t="s">
        <v>57</v>
      </c>
    </row>
    <row r="108" spans="1:18" x14ac:dyDescent="0.25">
      <c r="A108" s="1" t="s">
        <v>18</v>
      </c>
      <c r="B108" s="1" t="s">
        <v>259</v>
      </c>
      <c r="C108" s="1" t="s">
        <v>596</v>
      </c>
      <c r="D108" s="1" t="s">
        <v>21</v>
      </c>
      <c r="E108">
        <v>50.016199999999998</v>
      </c>
      <c r="F108">
        <v>22.677800000000001</v>
      </c>
      <c r="G108" s="1" t="s">
        <v>22</v>
      </c>
      <c r="H108" s="1" t="s">
        <v>74</v>
      </c>
      <c r="I108" s="1" t="s">
        <v>155</v>
      </c>
      <c r="J108" s="1" t="s">
        <v>34</v>
      </c>
      <c r="K108">
        <v>10</v>
      </c>
      <c r="L108">
        <v>122</v>
      </c>
      <c r="M108">
        <f t="shared" si="1"/>
        <v>1220</v>
      </c>
      <c r="N108" s="1" t="s">
        <v>26</v>
      </c>
      <c r="O108">
        <v>2018</v>
      </c>
      <c r="P108" s="1" t="s">
        <v>106</v>
      </c>
      <c r="Q108" s="1" t="s">
        <v>67</v>
      </c>
      <c r="R108" s="1" t="s">
        <v>68</v>
      </c>
    </row>
    <row r="109" spans="1:18" x14ac:dyDescent="0.25">
      <c r="A109" s="1" t="s">
        <v>18</v>
      </c>
      <c r="B109" s="1" t="s">
        <v>260</v>
      </c>
      <c r="C109" s="1" t="s">
        <v>261</v>
      </c>
      <c r="D109" s="1" t="s">
        <v>21</v>
      </c>
      <c r="E109">
        <v>54.566699999999997</v>
      </c>
      <c r="F109">
        <v>18.399999999999999</v>
      </c>
      <c r="G109" s="1" t="s">
        <v>31</v>
      </c>
      <c r="H109" s="1" t="s">
        <v>32</v>
      </c>
      <c r="I109" s="1" t="s">
        <v>262</v>
      </c>
      <c r="J109" s="1" t="s">
        <v>80</v>
      </c>
      <c r="K109">
        <v>8</v>
      </c>
      <c r="L109">
        <v>655</v>
      </c>
      <c r="M109">
        <f t="shared" si="1"/>
        <v>5240</v>
      </c>
      <c r="N109" s="1" t="s">
        <v>26</v>
      </c>
      <c r="O109">
        <v>2018</v>
      </c>
      <c r="P109" s="1" t="s">
        <v>35</v>
      </c>
      <c r="Q109" s="1" t="s">
        <v>28</v>
      </c>
      <c r="R109" s="1" t="s">
        <v>29</v>
      </c>
    </row>
    <row r="110" spans="1:18" x14ac:dyDescent="0.25">
      <c r="A110" s="1" t="s">
        <v>18</v>
      </c>
      <c r="B110" s="1" t="s">
        <v>263</v>
      </c>
      <c r="C110" s="1" t="s">
        <v>264</v>
      </c>
      <c r="D110" s="1" t="s">
        <v>21</v>
      </c>
      <c r="E110">
        <v>52.2333</v>
      </c>
      <c r="F110">
        <v>19.366700000000002</v>
      </c>
      <c r="G110" s="1" t="s">
        <v>31</v>
      </c>
      <c r="H110" s="1" t="s">
        <v>32</v>
      </c>
      <c r="I110" s="1" t="s">
        <v>265</v>
      </c>
      <c r="J110" s="1" t="s">
        <v>80</v>
      </c>
      <c r="K110">
        <v>5</v>
      </c>
      <c r="L110">
        <v>390</v>
      </c>
      <c r="M110">
        <f t="shared" si="1"/>
        <v>1950</v>
      </c>
      <c r="N110" s="1" t="s">
        <v>26</v>
      </c>
      <c r="O110">
        <v>2018</v>
      </c>
      <c r="P110" s="1" t="s">
        <v>35</v>
      </c>
      <c r="Q110" s="1" t="s">
        <v>28</v>
      </c>
      <c r="R110" s="1" t="s">
        <v>29</v>
      </c>
    </row>
    <row r="111" spans="1:18" x14ac:dyDescent="0.25">
      <c r="A111" s="1" t="s">
        <v>18</v>
      </c>
      <c r="B111" s="1" t="s">
        <v>104</v>
      </c>
      <c r="C111" s="1" t="s">
        <v>553</v>
      </c>
      <c r="D111" s="1" t="s">
        <v>21</v>
      </c>
      <c r="E111">
        <v>50.55</v>
      </c>
      <c r="F111">
        <v>22.7333</v>
      </c>
      <c r="G111" s="1" t="s">
        <v>31</v>
      </c>
      <c r="H111" s="1" t="s">
        <v>38</v>
      </c>
      <c r="I111" s="1" t="s">
        <v>165</v>
      </c>
      <c r="J111" s="1" t="s">
        <v>25</v>
      </c>
      <c r="K111">
        <v>8</v>
      </c>
      <c r="L111">
        <v>391</v>
      </c>
      <c r="M111">
        <f t="shared" si="1"/>
        <v>3128</v>
      </c>
      <c r="N111" s="1" t="s">
        <v>26</v>
      </c>
      <c r="O111">
        <v>2018</v>
      </c>
      <c r="P111" s="1" t="s">
        <v>40</v>
      </c>
      <c r="Q111" s="1" t="s">
        <v>41</v>
      </c>
      <c r="R111" s="1" t="s">
        <v>42</v>
      </c>
    </row>
    <row r="112" spans="1:18" x14ac:dyDescent="0.25">
      <c r="A112" s="1" t="s">
        <v>18</v>
      </c>
      <c r="B112" s="1" t="s">
        <v>266</v>
      </c>
      <c r="C112" s="1" t="s">
        <v>597</v>
      </c>
      <c r="D112" s="1" t="s">
        <v>21</v>
      </c>
      <c r="E112">
        <v>54.416699999999999</v>
      </c>
      <c r="F112">
        <v>16.416699999999999</v>
      </c>
      <c r="G112" s="1" t="s">
        <v>22</v>
      </c>
      <c r="H112" s="1" t="s">
        <v>23</v>
      </c>
      <c r="I112" s="1" t="s">
        <v>267</v>
      </c>
      <c r="J112" s="1" t="s">
        <v>88</v>
      </c>
      <c r="K112">
        <v>6</v>
      </c>
      <c r="L112">
        <v>782</v>
      </c>
      <c r="M112">
        <f t="shared" si="1"/>
        <v>4692</v>
      </c>
      <c r="N112" s="1" t="s">
        <v>26</v>
      </c>
      <c r="O112">
        <v>2018</v>
      </c>
      <c r="P112" s="1" t="s">
        <v>95</v>
      </c>
      <c r="Q112" s="1" t="s">
        <v>67</v>
      </c>
      <c r="R112" s="1" t="s">
        <v>68</v>
      </c>
    </row>
    <row r="113" spans="1:18" x14ac:dyDescent="0.25">
      <c r="A113" s="1" t="s">
        <v>18</v>
      </c>
      <c r="B113" s="1" t="s">
        <v>268</v>
      </c>
      <c r="C113" s="1" t="s">
        <v>598</v>
      </c>
      <c r="D113" s="1" t="s">
        <v>21</v>
      </c>
      <c r="E113">
        <v>51.107700000000001</v>
      </c>
      <c r="F113">
        <v>17.035299999999999</v>
      </c>
      <c r="G113" s="1" t="s">
        <v>22</v>
      </c>
      <c r="H113" s="1" t="s">
        <v>23</v>
      </c>
      <c r="I113" s="1" t="s">
        <v>269</v>
      </c>
      <c r="J113" s="1" t="s">
        <v>88</v>
      </c>
      <c r="K113">
        <v>6</v>
      </c>
      <c r="L113">
        <v>492</v>
      </c>
      <c r="M113">
        <f t="shared" si="1"/>
        <v>2952</v>
      </c>
      <c r="N113" s="1" t="s">
        <v>26</v>
      </c>
      <c r="O113">
        <v>2018</v>
      </c>
      <c r="P113" s="1" t="s">
        <v>66</v>
      </c>
      <c r="Q113" s="1" t="s">
        <v>67</v>
      </c>
      <c r="R113" s="1" t="s">
        <v>68</v>
      </c>
    </row>
    <row r="114" spans="1:18" x14ac:dyDescent="0.25">
      <c r="A114" s="1" t="s">
        <v>18</v>
      </c>
      <c r="B114" s="1" t="s">
        <v>270</v>
      </c>
      <c r="C114" s="1" t="s">
        <v>271</v>
      </c>
      <c r="D114" s="1" t="s">
        <v>21</v>
      </c>
      <c r="E114">
        <v>51</v>
      </c>
      <c r="F114">
        <v>16.333300000000001</v>
      </c>
      <c r="G114" s="1" t="s">
        <v>31</v>
      </c>
      <c r="H114" s="1" t="s">
        <v>38</v>
      </c>
      <c r="I114" s="1" t="s">
        <v>272</v>
      </c>
      <c r="J114" s="1" t="s">
        <v>25</v>
      </c>
      <c r="K114">
        <v>3</v>
      </c>
      <c r="L114">
        <v>520</v>
      </c>
      <c r="M114">
        <f t="shared" si="1"/>
        <v>1560</v>
      </c>
      <c r="N114" s="1" t="s">
        <v>26</v>
      </c>
      <c r="O114">
        <v>2018</v>
      </c>
      <c r="P114" s="1" t="s">
        <v>81</v>
      </c>
      <c r="Q114" s="1" t="s">
        <v>41</v>
      </c>
      <c r="R114" s="1" t="s">
        <v>42</v>
      </c>
    </row>
    <row r="115" spans="1:18" x14ac:dyDescent="0.25">
      <c r="A115" s="1" t="s">
        <v>18</v>
      </c>
      <c r="B115" s="1" t="s">
        <v>273</v>
      </c>
      <c r="C115" s="1" t="s">
        <v>274</v>
      </c>
      <c r="D115" s="1" t="s">
        <v>21</v>
      </c>
      <c r="E115">
        <v>52.7667</v>
      </c>
      <c r="F115">
        <v>23.2</v>
      </c>
      <c r="G115" s="1" t="s">
        <v>22</v>
      </c>
      <c r="H115" s="1" t="s">
        <v>74</v>
      </c>
      <c r="I115" s="1" t="s">
        <v>275</v>
      </c>
      <c r="J115" s="1" t="s">
        <v>25</v>
      </c>
      <c r="K115">
        <v>6</v>
      </c>
      <c r="L115">
        <v>767</v>
      </c>
      <c r="M115">
        <f t="shared" si="1"/>
        <v>4602</v>
      </c>
      <c r="N115" s="1" t="s">
        <v>26</v>
      </c>
      <c r="O115">
        <v>2018</v>
      </c>
      <c r="P115" s="1" t="s">
        <v>50</v>
      </c>
      <c r="Q115" s="1" t="s">
        <v>28</v>
      </c>
      <c r="R115" s="1" t="s">
        <v>29</v>
      </c>
    </row>
    <row r="116" spans="1:18" x14ac:dyDescent="0.25">
      <c r="A116" s="1" t="s">
        <v>18</v>
      </c>
      <c r="B116" s="1" t="s">
        <v>276</v>
      </c>
      <c r="C116" s="1" t="s">
        <v>599</v>
      </c>
      <c r="D116" s="1" t="s">
        <v>21</v>
      </c>
      <c r="E116">
        <v>54.166699999999999</v>
      </c>
      <c r="F116">
        <v>17.5</v>
      </c>
      <c r="G116" s="1" t="s">
        <v>22</v>
      </c>
      <c r="H116" s="1" t="s">
        <v>23</v>
      </c>
      <c r="I116" s="1" t="s">
        <v>277</v>
      </c>
      <c r="J116" s="1" t="s">
        <v>34</v>
      </c>
      <c r="K116">
        <v>6</v>
      </c>
      <c r="L116">
        <v>452</v>
      </c>
      <c r="M116">
        <f t="shared" si="1"/>
        <v>2712</v>
      </c>
      <c r="N116" s="1" t="s">
        <v>49</v>
      </c>
      <c r="O116">
        <v>2018</v>
      </c>
      <c r="P116" s="1" t="s">
        <v>95</v>
      </c>
      <c r="Q116" s="1" t="s">
        <v>67</v>
      </c>
      <c r="R116" s="1" t="s">
        <v>68</v>
      </c>
    </row>
    <row r="117" spans="1:18" x14ac:dyDescent="0.25">
      <c r="A117" s="1" t="s">
        <v>18</v>
      </c>
      <c r="B117" s="1" t="s">
        <v>278</v>
      </c>
      <c r="C117" s="1" t="s">
        <v>279</v>
      </c>
      <c r="D117" s="1" t="s">
        <v>21</v>
      </c>
      <c r="E117">
        <v>51.152799999999999</v>
      </c>
      <c r="F117">
        <v>15</v>
      </c>
      <c r="G117" s="1" t="s">
        <v>31</v>
      </c>
      <c r="H117" s="1" t="s">
        <v>38</v>
      </c>
      <c r="I117" s="1" t="s">
        <v>167</v>
      </c>
      <c r="J117" s="1" t="s">
        <v>117</v>
      </c>
      <c r="K117">
        <v>12</v>
      </c>
      <c r="L117">
        <v>75</v>
      </c>
      <c r="M117">
        <f t="shared" si="1"/>
        <v>900</v>
      </c>
      <c r="N117" s="1" t="s">
        <v>49</v>
      </c>
      <c r="O117">
        <v>2018</v>
      </c>
      <c r="P117" s="1" t="s">
        <v>60</v>
      </c>
      <c r="Q117" s="1" t="s">
        <v>28</v>
      </c>
      <c r="R117" s="1" t="s">
        <v>29</v>
      </c>
    </row>
    <row r="118" spans="1:18" x14ac:dyDescent="0.25">
      <c r="A118" s="1" t="s">
        <v>18</v>
      </c>
      <c r="B118" s="1" t="s">
        <v>225</v>
      </c>
      <c r="C118" s="1" t="s">
        <v>588</v>
      </c>
      <c r="D118" s="1" t="s">
        <v>21</v>
      </c>
      <c r="E118">
        <v>51.4</v>
      </c>
      <c r="F118">
        <v>19.683299999999999</v>
      </c>
      <c r="G118" s="1" t="s">
        <v>22</v>
      </c>
      <c r="H118" s="1" t="s">
        <v>23</v>
      </c>
      <c r="I118" s="1" t="s">
        <v>280</v>
      </c>
      <c r="J118" s="1" t="s">
        <v>45</v>
      </c>
      <c r="K118">
        <v>5</v>
      </c>
      <c r="L118">
        <v>613</v>
      </c>
      <c r="M118">
        <f t="shared" si="1"/>
        <v>3065</v>
      </c>
      <c r="N118" s="1" t="s">
        <v>26</v>
      </c>
      <c r="O118">
        <v>2018</v>
      </c>
      <c r="P118" s="1" t="s">
        <v>40</v>
      </c>
      <c r="Q118" s="1" t="s">
        <v>41</v>
      </c>
      <c r="R118" s="1" t="s">
        <v>42</v>
      </c>
    </row>
    <row r="119" spans="1:18" x14ac:dyDescent="0.25">
      <c r="A119" s="1" t="s">
        <v>18</v>
      </c>
      <c r="B119" s="1" t="s">
        <v>281</v>
      </c>
      <c r="C119" s="1" t="s">
        <v>600</v>
      </c>
      <c r="D119" s="1" t="s">
        <v>21</v>
      </c>
      <c r="E119">
        <v>51.030799999999999</v>
      </c>
      <c r="F119">
        <v>15.420199999999999</v>
      </c>
      <c r="G119" s="1" t="s">
        <v>22</v>
      </c>
      <c r="H119" s="1" t="s">
        <v>23</v>
      </c>
      <c r="I119" s="1" t="s">
        <v>282</v>
      </c>
      <c r="J119" s="1" t="s">
        <v>25</v>
      </c>
      <c r="K119">
        <v>20</v>
      </c>
      <c r="L119">
        <v>311</v>
      </c>
      <c r="M119">
        <f t="shared" si="1"/>
        <v>6220</v>
      </c>
      <c r="N119" s="1" t="s">
        <v>283</v>
      </c>
      <c r="O119">
        <v>2018</v>
      </c>
      <c r="P119" s="1" t="s">
        <v>77</v>
      </c>
      <c r="Q119" s="1" t="s">
        <v>56</v>
      </c>
      <c r="R119" s="1" t="s">
        <v>57</v>
      </c>
    </row>
    <row r="120" spans="1:18" x14ac:dyDescent="0.25">
      <c r="A120" s="1" t="s">
        <v>18</v>
      </c>
      <c r="B120" s="1" t="s">
        <v>138</v>
      </c>
      <c r="C120" s="1" t="s">
        <v>563</v>
      </c>
      <c r="D120" s="1" t="s">
        <v>21</v>
      </c>
      <c r="E120">
        <v>53.2667</v>
      </c>
      <c r="F120">
        <v>16.466699999999999</v>
      </c>
      <c r="G120" s="1" t="s">
        <v>22</v>
      </c>
      <c r="H120" s="1" t="s">
        <v>74</v>
      </c>
      <c r="I120" s="1" t="s">
        <v>284</v>
      </c>
      <c r="J120" s="1" t="s">
        <v>34</v>
      </c>
      <c r="K120">
        <v>5</v>
      </c>
      <c r="L120">
        <v>611</v>
      </c>
      <c r="M120">
        <f t="shared" si="1"/>
        <v>3055</v>
      </c>
      <c r="N120" s="1" t="s">
        <v>26</v>
      </c>
      <c r="O120">
        <v>2018</v>
      </c>
      <c r="P120" s="1" t="s">
        <v>81</v>
      </c>
      <c r="Q120" s="1" t="s">
        <v>41</v>
      </c>
      <c r="R120" s="1" t="s">
        <v>42</v>
      </c>
    </row>
    <row r="121" spans="1:18" x14ac:dyDescent="0.25">
      <c r="A121" s="1" t="s">
        <v>18</v>
      </c>
      <c r="B121" s="1" t="s">
        <v>164</v>
      </c>
      <c r="C121" s="1" t="s">
        <v>572</v>
      </c>
      <c r="D121" s="1" t="s">
        <v>21</v>
      </c>
      <c r="E121">
        <v>53.4925</v>
      </c>
      <c r="F121">
        <v>18.7761</v>
      </c>
      <c r="G121" s="1" t="s">
        <v>31</v>
      </c>
      <c r="H121" s="1" t="s">
        <v>32</v>
      </c>
      <c r="I121" s="1" t="s">
        <v>285</v>
      </c>
      <c r="J121" s="1" t="s">
        <v>34</v>
      </c>
      <c r="K121">
        <v>13</v>
      </c>
      <c r="L121">
        <v>773</v>
      </c>
      <c r="M121">
        <f t="shared" si="1"/>
        <v>10049</v>
      </c>
      <c r="N121" s="1" t="s">
        <v>26</v>
      </c>
      <c r="O121">
        <v>2018</v>
      </c>
      <c r="P121" s="1" t="s">
        <v>40</v>
      </c>
      <c r="Q121" s="1" t="s">
        <v>41</v>
      </c>
      <c r="R121" s="1" t="s">
        <v>42</v>
      </c>
    </row>
    <row r="122" spans="1:18" x14ac:dyDescent="0.25">
      <c r="A122" s="1" t="s">
        <v>18</v>
      </c>
      <c r="B122" s="1" t="s">
        <v>231</v>
      </c>
      <c r="C122" s="1" t="s">
        <v>590</v>
      </c>
      <c r="D122" s="1" t="s">
        <v>21</v>
      </c>
      <c r="E122">
        <v>52.253100000000003</v>
      </c>
      <c r="F122">
        <v>15.9178</v>
      </c>
      <c r="G122" s="1" t="s">
        <v>22</v>
      </c>
      <c r="H122" s="1" t="s">
        <v>23</v>
      </c>
      <c r="I122" s="1" t="s">
        <v>62</v>
      </c>
      <c r="J122" s="1" t="s">
        <v>25</v>
      </c>
      <c r="K122">
        <v>20</v>
      </c>
      <c r="L122">
        <v>742</v>
      </c>
      <c r="M122">
        <f t="shared" si="1"/>
        <v>14840</v>
      </c>
      <c r="N122" s="1" t="s">
        <v>26</v>
      </c>
      <c r="O122">
        <v>2018</v>
      </c>
      <c r="P122" s="1" t="s">
        <v>40</v>
      </c>
      <c r="Q122" s="1" t="s">
        <v>41</v>
      </c>
      <c r="R122" s="1" t="s">
        <v>42</v>
      </c>
    </row>
    <row r="123" spans="1:18" x14ac:dyDescent="0.25">
      <c r="A123" s="1" t="s">
        <v>18</v>
      </c>
      <c r="B123" s="1" t="s">
        <v>227</v>
      </c>
      <c r="C123" s="1" t="s">
        <v>228</v>
      </c>
      <c r="D123" s="1" t="s">
        <v>21</v>
      </c>
      <c r="E123">
        <v>50.672199999999997</v>
      </c>
      <c r="F123">
        <v>17.9253</v>
      </c>
      <c r="G123" s="1" t="s">
        <v>31</v>
      </c>
      <c r="H123" s="1" t="s">
        <v>32</v>
      </c>
      <c r="I123" s="1" t="s">
        <v>131</v>
      </c>
      <c r="J123" s="1" t="s">
        <v>117</v>
      </c>
      <c r="K123">
        <v>7</v>
      </c>
      <c r="L123">
        <v>164</v>
      </c>
      <c r="M123">
        <f t="shared" si="1"/>
        <v>1148</v>
      </c>
      <c r="N123" s="1" t="s">
        <v>26</v>
      </c>
      <c r="O123">
        <v>2018</v>
      </c>
      <c r="P123" s="1" t="s">
        <v>71</v>
      </c>
      <c r="Q123" s="1" t="s">
        <v>41</v>
      </c>
      <c r="R123" s="1" t="s">
        <v>42</v>
      </c>
    </row>
    <row r="124" spans="1:18" x14ac:dyDescent="0.25">
      <c r="A124" s="1" t="s">
        <v>18</v>
      </c>
      <c r="B124" s="1" t="s">
        <v>278</v>
      </c>
      <c r="C124" s="1" t="s">
        <v>279</v>
      </c>
      <c r="D124" s="1" t="s">
        <v>21</v>
      </c>
      <c r="E124">
        <v>51.152799999999999</v>
      </c>
      <c r="F124">
        <v>15</v>
      </c>
      <c r="G124" s="1" t="s">
        <v>31</v>
      </c>
      <c r="H124" s="1" t="s">
        <v>38</v>
      </c>
      <c r="I124" s="1" t="s">
        <v>92</v>
      </c>
      <c r="J124" s="1" t="s">
        <v>45</v>
      </c>
      <c r="K124">
        <v>5</v>
      </c>
      <c r="L124">
        <v>605</v>
      </c>
      <c r="M124">
        <f t="shared" si="1"/>
        <v>3025</v>
      </c>
      <c r="N124" s="1" t="s">
        <v>283</v>
      </c>
      <c r="O124">
        <v>2018</v>
      </c>
      <c r="P124" s="1" t="s">
        <v>106</v>
      </c>
      <c r="Q124" s="1" t="s">
        <v>67</v>
      </c>
      <c r="R124" s="1" t="s">
        <v>68</v>
      </c>
    </row>
    <row r="125" spans="1:18" x14ac:dyDescent="0.25">
      <c r="A125" s="1" t="s">
        <v>18</v>
      </c>
      <c r="B125" s="1" t="s">
        <v>19</v>
      </c>
      <c r="C125" s="1" t="s">
        <v>20</v>
      </c>
      <c r="D125" s="1" t="s">
        <v>21</v>
      </c>
      <c r="E125">
        <v>51.2333</v>
      </c>
      <c r="F125">
        <v>22.566700000000001</v>
      </c>
      <c r="G125" s="1" t="s">
        <v>22</v>
      </c>
      <c r="H125" s="1" t="s">
        <v>23</v>
      </c>
      <c r="I125" s="1" t="s">
        <v>196</v>
      </c>
      <c r="J125" s="1" t="s">
        <v>80</v>
      </c>
      <c r="K125">
        <v>30</v>
      </c>
      <c r="L125">
        <v>26</v>
      </c>
      <c r="M125">
        <f t="shared" si="1"/>
        <v>780</v>
      </c>
      <c r="N125" s="1" t="s">
        <v>26</v>
      </c>
      <c r="O125">
        <v>2018</v>
      </c>
      <c r="P125" s="1" t="s">
        <v>77</v>
      </c>
      <c r="Q125" s="1" t="s">
        <v>56</v>
      </c>
      <c r="R125" s="1" t="s">
        <v>57</v>
      </c>
    </row>
    <row r="126" spans="1:18" x14ac:dyDescent="0.25">
      <c r="A126" s="1" t="s">
        <v>18</v>
      </c>
      <c r="B126" s="1" t="s">
        <v>140</v>
      </c>
      <c r="C126" s="1" t="s">
        <v>564</v>
      </c>
      <c r="D126" s="1" t="s">
        <v>21</v>
      </c>
      <c r="E126">
        <v>49.882100000000001</v>
      </c>
      <c r="F126">
        <v>19.223299999999998</v>
      </c>
      <c r="G126" s="1" t="s">
        <v>31</v>
      </c>
      <c r="H126" s="1" t="s">
        <v>38</v>
      </c>
      <c r="I126" s="1" t="s">
        <v>286</v>
      </c>
      <c r="J126" s="1" t="s">
        <v>45</v>
      </c>
      <c r="K126">
        <v>56</v>
      </c>
      <c r="L126">
        <v>529</v>
      </c>
      <c r="M126">
        <f t="shared" si="1"/>
        <v>29624</v>
      </c>
      <c r="N126" s="1" t="s">
        <v>156</v>
      </c>
      <c r="O126">
        <v>2018</v>
      </c>
      <c r="P126" s="1" t="s">
        <v>60</v>
      </c>
      <c r="Q126" s="1" t="s">
        <v>28</v>
      </c>
      <c r="R126" s="1" t="s">
        <v>29</v>
      </c>
    </row>
    <row r="127" spans="1:18" x14ac:dyDescent="0.25">
      <c r="A127" s="1" t="s">
        <v>18</v>
      </c>
      <c r="B127" s="1" t="s">
        <v>287</v>
      </c>
      <c r="C127" s="1" t="s">
        <v>601</v>
      </c>
      <c r="D127" s="1" t="s">
        <v>218</v>
      </c>
      <c r="E127">
        <v>52.65</v>
      </c>
      <c r="F127">
        <v>19.05</v>
      </c>
      <c r="G127" s="1" t="s">
        <v>22</v>
      </c>
      <c r="H127" s="1" t="s">
        <v>23</v>
      </c>
      <c r="I127" s="1" t="s">
        <v>288</v>
      </c>
      <c r="J127" s="1" t="s">
        <v>34</v>
      </c>
      <c r="K127">
        <v>1</v>
      </c>
      <c r="L127">
        <v>401</v>
      </c>
      <c r="M127">
        <f t="shared" si="1"/>
        <v>401</v>
      </c>
      <c r="N127" s="1" t="s">
        <v>26</v>
      </c>
      <c r="O127">
        <v>2018</v>
      </c>
      <c r="P127" s="1" t="s">
        <v>66</v>
      </c>
      <c r="Q127" s="1" t="s">
        <v>67</v>
      </c>
      <c r="R127" s="1" t="s">
        <v>68</v>
      </c>
    </row>
    <row r="128" spans="1:18" x14ac:dyDescent="0.25">
      <c r="A128" s="1" t="s">
        <v>18</v>
      </c>
      <c r="B128" s="1" t="s">
        <v>126</v>
      </c>
      <c r="C128" s="1" t="s">
        <v>127</v>
      </c>
      <c r="D128" s="1" t="s">
        <v>21</v>
      </c>
      <c r="E128">
        <v>50.475099999999998</v>
      </c>
      <c r="F128">
        <v>17.965399999999999</v>
      </c>
      <c r="G128" s="1" t="s">
        <v>31</v>
      </c>
      <c r="H128" s="1" t="s">
        <v>38</v>
      </c>
      <c r="I128" s="1" t="s">
        <v>111</v>
      </c>
      <c r="J128" s="1" t="s">
        <v>34</v>
      </c>
      <c r="K128">
        <v>2</v>
      </c>
      <c r="L128">
        <v>215</v>
      </c>
      <c r="M128">
        <f t="shared" si="1"/>
        <v>430</v>
      </c>
      <c r="N128" s="1" t="s">
        <v>289</v>
      </c>
      <c r="O128">
        <v>2018</v>
      </c>
      <c r="P128" s="1" t="s">
        <v>71</v>
      </c>
      <c r="Q128" s="1" t="s">
        <v>41</v>
      </c>
      <c r="R128" s="1" t="s">
        <v>42</v>
      </c>
    </row>
    <row r="129" spans="1:18" x14ac:dyDescent="0.25">
      <c r="A129" s="1" t="s">
        <v>18</v>
      </c>
      <c r="B129" s="1" t="s">
        <v>290</v>
      </c>
      <c r="C129" s="1" t="s">
        <v>602</v>
      </c>
      <c r="D129" s="1" t="s">
        <v>21</v>
      </c>
      <c r="E129">
        <v>51.3</v>
      </c>
      <c r="F129">
        <v>22.883299999999998</v>
      </c>
      <c r="G129" s="1" t="s">
        <v>31</v>
      </c>
      <c r="H129" s="1" t="s">
        <v>38</v>
      </c>
      <c r="I129" s="1" t="s">
        <v>99</v>
      </c>
      <c r="J129" s="1" t="s">
        <v>45</v>
      </c>
      <c r="K129">
        <v>5</v>
      </c>
      <c r="L129">
        <v>414</v>
      </c>
      <c r="M129">
        <f t="shared" si="1"/>
        <v>2070</v>
      </c>
      <c r="N129" s="1" t="s">
        <v>26</v>
      </c>
      <c r="O129">
        <v>2018</v>
      </c>
      <c r="P129" s="1" t="s">
        <v>66</v>
      </c>
      <c r="Q129" s="1" t="s">
        <v>67</v>
      </c>
      <c r="R129" s="1" t="s">
        <v>68</v>
      </c>
    </row>
    <row r="130" spans="1:18" x14ac:dyDescent="0.25">
      <c r="A130" s="1" t="s">
        <v>18</v>
      </c>
      <c r="B130" s="1" t="s">
        <v>291</v>
      </c>
      <c r="C130" s="1" t="s">
        <v>603</v>
      </c>
      <c r="D130" s="1" t="s">
        <v>21</v>
      </c>
      <c r="E130">
        <v>50.033900000000003</v>
      </c>
      <c r="F130">
        <v>20.217199999999998</v>
      </c>
      <c r="G130" s="1" t="s">
        <v>22</v>
      </c>
      <c r="H130" s="1" t="s">
        <v>23</v>
      </c>
      <c r="I130" s="1" t="s">
        <v>292</v>
      </c>
      <c r="J130" s="1" t="s">
        <v>45</v>
      </c>
      <c r="K130">
        <v>1</v>
      </c>
      <c r="L130">
        <v>173</v>
      </c>
      <c r="M130">
        <f t="shared" si="1"/>
        <v>173</v>
      </c>
      <c r="N130" s="1" t="s">
        <v>283</v>
      </c>
      <c r="O130">
        <v>2018</v>
      </c>
      <c r="P130" s="1" t="s">
        <v>103</v>
      </c>
      <c r="Q130" s="1" t="s">
        <v>56</v>
      </c>
      <c r="R130" s="1" t="s">
        <v>57</v>
      </c>
    </row>
    <row r="131" spans="1:18" x14ac:dyDescent="0.25">
      <c r="A131" s="1" t="s">
        <v>18</v>
      </c>
      <c r="B131" s="1" t="s">
        <v>293</v>
      </c>
      <c r="C131" s="1" t="s">
        <v>294</v>
      </c>
      <c r="D131" s="1" t="s">
        <v>218</v>
      </c>
      <c r="E131">
        <v>50.9833</v>
      </c>
      <c r="F131">
        <v>18.216699999999999</v>
      </c>
      <c r="G131" s="1" t="s">
        <v>22</v>
      </c>
      <c r="H131" s="1" t="s">
        <v>74</v>
      </c>
      <c r="I131" s="1" t="s">
        <v>62</v>
      </c>
      <c r="J131" s="1" t="s">
        <v>25</v>
      </c>
      <c r="K131">
        <v>30</v>
      </c>
      <c r="L131">
        <v>742</v>
      </c>
      <c r="M131">
        <f t="shared" ref="M131:M194" si="2">SUM(K131*L131)</f>
        <v>22260</v>
      </c>
      <c r="N131" s="1" t="s">
        <v>26</v>
      </c>
      <c r="O131">
        <v>2018</v>
      </c>
      <c r="P131" s="1" t="s">
        <v>55</v>
      </c>
      <c r="Q131" s="1" t="s">
        <v>56</v>
      </c>
      <c r="R131" s="1" t="s">
        <v>57</v>
      </c>
    </row>
    <row r="132" spans="1:18" x14ac:dyDescent="0.25">
      <c r="A132" s="1" t="s">
        <v>18</v>
      </c>
      <c r="B132" s="1" t="s">
        <v>295</v>
      </c>
      <c r="C132" s="1" t="s">
        <v>296</v>
      </c>
      <c r="D132" s="1" t="s">
        <v>21</v>
      </c>
      <c r="E132">
        <v>51.05</v>
      </c>
      <c r="F132">
        <v>16.183299999999999</v>
      </c>
      <c r="G132" s="1" t="s">
        <v>22</v>
      </c>
      <c r="H132" s="1" t="s">
        <v>23</v>
      </c>
      <c r="I132" s="1" t="s">
        <v>109</v>
      </c>
      <c r="J132" s="1" t="s">
        <v>80</v>
      </c>
      <c r="K132">
        <v>1</v>
      </c>
      <c r="L132">
        <v>765</v>
      </c>
      <c r="M132">
        <f t="shared" si="2"/>
        <v>765</v>
      </c>
      <c r="N132" s="1" t="s">
        <v>49</v>
      </c>
      <c r="O132">
        <v>2018</v>
      </c>
      <c r="P132" s="1" t="s">
        <v>27</v>
      </c>
      <c r="Q132" s="1" t="s">
        <v>28</v>
      </c>
      <c r="R132" s="1" t="s">
        <v>29</v>
      </c>
    </row>
    <row r="133" spans="1:18" x14ac:dyDescent="0.25">
      <c r="A133" s="1" t="s">
        <v>18</v>
      </c>
      <c r="B133" s="1" t="s">
        <v>297</v>
      </c>
      <c r="C133" s="1" t="s">
        <v>604</v>
      </c>
      <c r="D133" s="1" t="s">
        <v>21</v>
      </c>
      <c r="E133">
        <v>52.083300000000001</v>
      </c>
      <c r="F133">
        <v>16.649999999999999</v>
      </c>
      <c r="G133" s="1" t="s">
        <v>22</v>
      </c>
      <c r="H133" s="1" t="s">
        <v>23</v>
      </c>
      <c r="I133" s="1" t="s">
        <v>213</v>
      </c>
      <c r="J133" s="1" t="s">
        <v>88</v>
      </c>
      <c r="K133">
        <v>4</v>
      </c>
      <c r="L133">
        <v>628</v>
      </c>
      <c r="M133">
        <f t="shared" si="2"/>
        <v>2512</v>
      </c>
      <c r="N133" s="1" t="s">
        <v>26</v>
      </c>
      <c r="O133">
        <v>2018</v>
      </c>
      <c r="P133" s="1" t="s">
        <v>71</v>
      </c>
      <c r="Q133" s="1" t="s">
        <v>41</v>
      </c>
      <c r="R133" s="1" t="s">
        <v>42</v>
      </c>
    </row>
    <row r="134" spans="1:18" x14ac:dyDescent="0.25">
      <c r="A134" s="1" t="s">
        <v>18</v>
      </c>
      <c r="B134" s="1" t="s">
        <v>298</v>
      </c>
      <c r="C134" s="1" t="s">
        <v>299</v>
      </c>
      <c r="D134" s="1" t="s">
        <v>21</v>
      </c>
      <c r="E134">
        <v>50.872500000000002</v>
      </c>
      <c r="F134">
        <v>20.631900000000002</v>
      </c>
      <c r="G134" s="1" t="s">
        <v>31</v>
      </c>
      <c r="H134" s="1" t="s">
        <v>38</v>
      </c>
      <c r="I134" s="1" t="s">
        <v>300</v>
      </c>
      <c r="J134" s="1" t="s">
        <v>117</v>
      </c>
      <c r="K134">
        <v>4</v>
      </c>
      <c r="L134">
        <v>248</v>
      </c>
      <c r="M134">
        <f t="shared" si="2"/>
        <v>992</v>
      </c>
      <c r="N134" s="1" t="s">
        <v>26</v>
      </c>
      <c r="O134">
        <v>2018</v>
      </c>
      <c r="P134" s="1" t="s">
        <v>50</v>
      </c>
      <c r="Q134" s="1" t="s">
        <v>28</v>
      </c>
      <c r="R134" s="1" t="s">
        <v>29</v>
      </c>
    </row>
    <row r="135" spans="1:18" x14ac:dyDescent="0.25">
      <c r="A135" s="1" t="s">
        <v>18</v>
      </c>
      <c r="B135" s="1" t="s">
        <v>301</v>
      </c>
      <c r="C135" s="1" t="s">
        <v>605</v>
      </c>
      <c r="D135" s="1" t="s">
        <v>21</v>
      </c>
      <c r="E135">
        <v>49.5625</v>
      </c>
      <c r="F135">
        <v>20.636399999999998</v>
      </c>
      <c r="G135" s="1" t="s">
        <v>22</v>
      </c>
      <c r="H135" s="1" t="s">
        <v>23</v>
      </c>
      <c r="I135" s="1" t="s">
        <v>302</v>
      </c>
      <c r="J135" s="1" t="s">
        <v>117</v>
      </c>
      <c r="K135">
        <v>10</v>
      </c>
      <c r="L135">
        <v>187</v>
      </c>
      <c r="M135">
        <f t="shared" si="2"/>
        <v>1870</v>
      </c>
      <c r="N135" s="1" t="s">
        <v>26</v>
      </c>
      <c r="O135">
        <v>2018</v>
      </c>
      <c r="P135" s="1" t="s">
        <v>35</v>
      </c>
      <c r="Q135" s="1" t="s">
        <v>28</v>
      </c>
      <c r="R135" s="1" t="s">
        <v>29</v>
      </c>
    </row>
    <row r="136" spans="1:18" x14ac:dyDescent="0.25">
      <c r="A136" s="1" t="s">
        <v>18</v>
      </c>
      <c r="B136" s="1" t="s">
        <v>220</v>
      </c>
      <c r="C136" s="1" t="s">
        <v>587</v>
      </c>
      <c r="D136" s="1" t="s">
        <v>21</v>
      </c>
      <c r="E136">
        <v>50.323900000000002</v>
      </c>
      <c r="F136">
        <v>19.194700000000001</v>
      </c>
      <c r="G136" s="1" t="s">
        <v>22</v>
      </c>
      <c r="H136" s="1" t="s">
        <v>74</v>
      </c>
      <c r="I136" s="1" t="s">
        <v>90</v>
      </c>
      <c r="J136" s="1" t="s">
        <v>88</v>
      </c>
      <c r="K136">
        <v>6</v>
      </c>
      <c r="L136">
        <v>487</v>
      </c>
      <c r="M136">
        <f t="shared" si="2"/>
        <v>2922</v>
      </c>
      <c r="N136" s="1" t="s">
        <v>26</v>
      </c>
      <c r="O136">
        <v>2018</v>
      </c>
      <c r="P136" s="1" t="s">
        <v>50</v>
      </c>
      <c r="Q136" s="1" t="s">
        <v>28</v>
      </c>
      <c r="R136" s="1" t="s">
        <v>29</v>
      </c>
    </row>
    <row r="137" spans="1:18" x14ac:dyDescent="0.25">
      <c r="A137" s="1" t="s">
        <v>18</v>
      </c>
      <c r="B137" s="1" t="s">
        <v>248</v>
      </c>
      <c r="C137" s="1" t="s">
        <v>593</v>
      </c>
      <c r="D137" s="1" t="s">
        <v>21</v>
      </c>
      <c r="E137">
        <v>53.816699999999997</v>
      </c>
      <c r="F137">
        <v>22.35</v>
      </c>
      <c r="G137" s="1" t="s">
        <v>31</v>
      </c>
      <c r="H137" s="1" t="s">
        <v>32</v>
      </c>
      <c r="I137" s="1" t="s">
        <v>213</v>
      </c>
      <c r="J137" s="1" t="s">
        <v>88</v>
      </c>
      <c r="K137">
        <v>4</v>
      </c>
      <c r="L137">
        <v>628</v>
      </c>
      <c r="M137">
        <f t="shared" si="2"/>
        <v>2512</v>
      </c>
      <c r="N137" s="1" t="s">
        <v>26</v>
      </c>
      <c r="O137">
        <v>2018</v>
      </c>
      <c r="P137" s="1" t="s">
        <v>66</v>
      </c>
      <c r="Q137" s="1" t="s">
        <v>67</v>
      </c>
      <c r="R137" s="1" t="s">
        <v>68</v>
      </c>
    </row>
    <row r="138" spans="1:18" x14ac:dyDescent="0.25">
      <c r="A138" s="1" t="s">
        <v>18</v>
      </c>
      <c r="B138" s="1" t="s">
        <v>268</v>
      </c>
      <c r="C138" s="1" t="s">
        <v>598</v>
      </c>
      <c r="D138" s="1" t="s">
        <v>21</v>
      </c>
      <c r="E138">
        <v>51.107700000000001</v>
      </c>
      <c r="F138">
        <v>17.035299999999999</v>
      </c>
      <c r="G138" s="1" t="s">
        <v>22</v>
      </c>
      <c r="H138" s="1" t="s">
        <v>23</v>
      </c>
      <c r="I138" s="1" t="s">
        <v>303</v>
      </c>
      <c r="J138" s="1" t="s">
        <v>80</v>
      </c>
      <c r="K138">
        <v>15</v>
      </c>
      <c r="L138">
        <v>647</v>
      </c>
      <c r="M138">
        <f t="shared" si="2"/>
        <v>9705</v>
      </c>
      <c r="N138" s="1" t="s">
        <v>156</v>
      </c>
      <c r="O138">
        <v>2018</v>
      </c>
      <c r="P138" s="1" t="s">
        <v>55</v>
      </c>
      <c r="Q138" s="1" t="s">
        <v>56</v>
      </c>
      <c r="R138" s="1" t="s">
        <v>57</v>
      </c>
    </row>
    <row r="139" spans="1:18" x14ac:dyDescent="0.25">
      <c r="A139" s="1" t="s">
        <v>18</v>
      </c>
      <c r="B139" s="1" t="s">
        <v>304</v>
      </c>
      <c r="C139" s="1" t="s">
        <v>606</v>
      </c>
      <c r="D139" s="1" t="s">
        <v>21</v>
      </c>
      <c r="E139">
        <v>51.8</v>
      </c>
      <c r="F139">
        <v>15.716699999999999</v>
      </c>
      <c r="G139" s="1" t="s">
        <v>31</v>
      </c>
      <c r="H139" s="1" t="s">
        <v>38</v>
      </c>
      <c r="I139" s="1" t="s">
        <v>305</v>
      </c>
      <c r="J139" s="1" t="s">
        <v>80</v>
      </c>
      <c r="K139">
        <v>3</v>
      </c>
      <c r="L139">
        <v>681</v>
      </c>
      <c r="M139">
        <f t="shared" si="2"/>
        <v>2043</v>
      </c>
      <c r="N139" s="1" t="s">
        <v>26</v>
      </c>
      <c r="O139">
        <v>2018</v>
      </c>
      <c r="P139" s="1" t="s">
        <v>55</v>
      </c>
      <c r="Q139" s="1" t="s">
        <v>56</v>
      </c>
      <c r="R139" s="1" t="s">
        <v>57</v>
      </c>
    </row>
    <row r="140" spans="1:18" x14ac:dyDescent="0.25">
      <c r="A140" s="1" t="s">
        <v>18</v>
      </c>
      <c r="B140" s="1" t="s">
        <v>306</v>
      </c>
      <c r="C140" s="1" t="s">
        <v>607</v>
      </c>
      <c r="D140" s="1" t="s">
        <v>21</v>
      </c>
      <c r="E140">
        <v>53.083300000000001</v>
      </c>
      <c r="F140">
        <v>21.566700000000001</v>
      </c>
      <c r="G140" s="1" t="s">
        <v>22</v>
      </c>
      <c r="H140" s="1" t="s">
        <v>23</v>
      </c>
      <c r="I140" s="1" t="s">
        <v>79</v>
      </c>
      <c r="J140" s="1" t="s">
        <v>80</v>
      </c>
      <c r="K140">
        <v>20</v>
      </c>
      <c r="L140">
        <v>249</v>
      </c>
      <c r="M140">
        <f t="shared" si="2"/>
        <v>4980</v>
      </c>
      <c r="N140" s="1" t="s">
        <v>26</v>
      </c>
      <c r="O140">
        <v>2018</v>
      </c>
      <c r="P140" s="1" t="s">
        <v>81</v>
      </c>
      <c r="Q140" s="1" t="s">
        <v>41</v>
      </c>
      <c r="R140" s="1" t="s">
        <v>42</v>
      </c>
    </row>
    <row r="141" spans="1:18" x14ac:dyDescent="0.25">
      <c r="A141" s="1" t="s">
        <v>18</v>
      </c>
      <c r="B141" s="1" t="s">
        <v>236</v>
      </c>
      <c r="C141" s="1" t="s">
        <v>237</v>
      </c>
      <c r="D141" s="1" t="s">
        <v>21</v>
      </c>
      <c r="E141">
        <v>50.297600000000003</v>
      </c>
      <c r="F141">
        <v>18.676600000000001</v>
      </c>
      <c r="G141" s="1" t="s">
        <v>31</v>
      </c>
      <c r="H141" s="1" t="s">
        <v>32</v>
      </c>
      <c r="I141" s="1" t="s">
        <v>307</v>
      </c>
      <c r="J141" s="1" t="s">
        <v>80</v>
      </c>
      <c r="K141">
        <v>10</v>
      </c>
      <c r="L141">
        <v>535</v>
      </c>
      <c r="M141">
        <f t="shared" si="2"/>
        <v>5350</v>
      </c>
      <c r="N141" s="1" t="s">
        <v>26</v>
      </c>
      <c r="O141">
        <v>2018</v>
      </c>
      <c r="P141" s="1" t="s">
        <v>77</v>
      </c>
      <c r="Q141" s="1" t="s">
        <v>56</v>
      </c>
      <c r="R141" s="1" t="s">
        <v>57</v>
      </c>
    </row>
    <row r="142" spans="1:18" x14ac:dyDescent="0.25">
      <c r="A142" s="1" t="s">
        <v>18</v>
      </c>
      <c r="B142" s="1" t="s">
        <v>270</v>
      </c>
      <c r="C142" s="1" t="s">
        <v>271</v>
      </c>
      <c r="D142" s="1" t="s">
        <v>21</v>
      </c>
      <c r="E142">
        <v>51</v>
      </c>
      <c r="F142">
        <v>16.333300000000001</v>
      </c>
      <c r="G142" s="1" t="s">
        <v>31</v>
      </c>
      <c r="H142" s="1" t="s">
        <v>38</v>
      </c>
      <c r="I142" s="1" t="s">
        <v>303</v>
      </c>
      <c r="J142" s="1" t="s">
        <v>80</v>
      </c>
      <c r="K142">
        <v>30</v>
      </c>
      <c r="L142">
        <v>647</v>
      </c>
      <c r="M142">
        <f t="shared" si="2"/>
        <v>19410</v>
      </c>
      <c r="N142" s="1" t="s">
        <v>26</v>
      </c>
      <c r="O142">
        <v>2018</v>
      </c>
      <c r="P142" s="1" t="s">
        <v>103</v>
      </c>
      <c r="Q142" s="1" t="s">
        <v>56</v>
      </c>
      <c r="R142" s="1" t="s">
        <v>57</v>
      </c>
    </row>
    <row r="143" spans="1:18" x14ac:dyDescent="0.25">
      <c r="A143" s="1" t="s">
        <v>18</v>
      </c>
      <c r="B143" s="1" t="s">
        <v>308</v>
      </c>
      <c r="C143" s="1" t="s">
        <v>608</v>
      </c>
      <c r="D143" s="1" t="s">
        <v>21</v>
      </c>
      <c r="E143">
        <v>49.666699999999999</v>
      </c>
      <c r="F143">
        <v>18.866700000000002</v>
      </c>
      <c r="G143" s="1" t="s">
        <v>31</v>
      </c>
      <c r="H143" s="1" t="s">
        <v>38</v>
      </c>
      <c r="I143" s="1" t="s">
        <v>309</v>
      </c>
      <c r="J143" s="1" t="s">
        <v>88</v>
      </c>
      <c r="K143">
        <v>4</v>
      </c>
      <c r="L143">
        <v>141</v>
      </c>
      <c r="M143">
        <f t="shared" si="2"/>
        <v>564</v>
      </c>
      <c r="N143" s="1" t="s">
        <v>26</v>
      </c>
      <c r="O143">
        <v>2018</v>
      </c>
      <c r="P143" s="1" t="s">
        <v>55</v>
      </c>
      <c r="Q143" s="1" t="s">
        <v>56</v>
      </c>
      <c r="R143" s="1" t="s">
        <v>57</v>
      </c>
    </row>
    <row r="144" spans="1:18" x14ac:dyDescent="0.25">
      <c r="A144" s="1" t="s">
        <v>18</v>
      </c>
      <c r="B144" s="1" t="s">
        <v>168</v>
      </c>
      <c r="C144" s="1" t="s">
        <v>574</v>
      </c>
      <c r="D144" s="1" t="s">
        <v>21</v>
      </c>
      <c r="E144">
        <v>53.65</v>
      </c>
      <c r="F144">
        <v>17.366700000000002</v>
      </c>
      <c r="G144" s="1" t="s">
        <v>31</v>
      </c>
      <c r="H144" s="1" t="s">
        <v>32</v>
      </c>
      <c r="I144" s="1" t="s">
        <v>119</v>
      </c>
      <c r="J144" s="1" t="s">
        <v>80</v>
      </c>
      <c r="K144">
        <v>10</v>
      </c>
      <c r="L144">
        <v>502</v>
      </c>
      <c r="M144">
        <f t="shared" si="2"/>
        <v>5020</v>
      </c>
      <c r="N144" s="1" t="s">
        <v>26</v>
      </c>
      <c r="O144">
        <v>2018</v>
      </c>
      <c r="P144" s="1" t="s">
        <v>71</v>
      </c>
      <c r="Q144" s="1" t="s">
        <v>41</v>
      </c>
      <c r="R144" s="1" t="s">
        <v>42</v>
      </c>
    </row>
    <row r="145" spans="1:18" x14ac:dyDescent="0.25">
      <c r="A145" s="1" t="s">
        <v>18</v>
      </c>
      <c r="B145" s="1" t="s">
        <v>122</v>
      </c>
      <c r="C145" s="1" t="s">
        <v>560</v>
      </c>
      <c r="D145" s="1" t="s">
        <v>21</v>
      </c>
      <c r="E145">
        <v>51.2333</v>
      </c>
      <c r="F145">
        <v>22.7</v>
      </c>
      <c r="G145" s="1" t="s">
        <v>31</v>
      </c>
      <c r="H145" s="1" t="s">
        <v>38</v>
      </c>
      <c r="I145" s="1" t="s">
        <v>275</v>
      </c>
      <c r="J145" s="1" t="s">
        <v>25</v>
      </c>
      <c r="K145">
        <v>4</v>
      </c>
      <c r="L145">
        <v>767</v>
      </c>
      <c r="M145">
        <f t="shared" si="2"/>
        <v>3068</v>
      </c>
      <c r="N145" s="1" t="s">
        <v>26</v>
      </c>
      <c r="O145">
        <v>2018</v>
      </c>
      <c r="P145" s="1" t="s">
        <v>95</v>
      </c>
      <c r="Q145" s="1" t="s">
        <v>67</v>
      </c>
      <c r="R145" s="1" t="s">
        <v>68</v>
      </c>
    </row>
    <row r="146" spans="1:18" x14ac:dyDescent="0.25">
      <c r="A146" s="1" t="s">
        <v>18</v>
      </c>
      <c r="B146" s="1" t="s">
        <v>36</v>
      </c>
      <c r="C146" s="1" t="s">
        <v>37</v>
      </c>
      <c r="D146" s="1" t="s">
        <v>21</v>
      </c>
      <c r="E146">
        <v>50.083300000000001</v>
      </c>
      <c r="F146">
        <v>18.5</v>
      </c>
      <c r="G146" s="1" t="s">
        <v>31</v>
      </c>
      <c r="H146" s="1" t="s">
        <v>38</v>
      </c>
      <c r="I146" s="1" t="s">
        <v>310</v>
      </c>
      <c r="J146" s="1" t="s">
        <v>25</v>
      </c>
      <c r="K146">
        <v>5</v>
      </c>
      <c r="L146">
        <v>513</v>
      </c>
      <c r="M146">
        <f t="shared" si="2"/>
        <v>2565</v>
      </c>
      <c r="N146" s="1" t="s">
        <v>26</v>
      </c>
      <c r="O146">
        <v>2018</v>
      </c>
      <c r="P146" s="1" t="s">
        <v>103</v>
      </c>
      <c r="Q146" s="1" t="s">
        <v>56</v>
      </c>
      <c r="R146" s="1" t="s">
        <v>57</v>
      </c>
    </row>
    <row r="147" spans="1:18" x14ac:dyDescent="0.25">
      <c r="A147" s="1" t="s">
        <v>18</v>
      </c>
      <c r="B147" s="1" t="s">
        <v>311</v>
      </c>
      <c r="C147" s="1" t="s">
        <v>312</v>
      </c>
      <c r="D147" s="1" t="s">
        <v>21</v>
      </c>
      <c r="E147">
        <v>49.9833</v>
      </c>
      <c r="F147">
        <v>20.433299999999999</v>
      </c>
      <c r="G147" s="1" t="s">
        <v>31</v>
      </c>
      <c r="H147" s="1" t="s">
        <v>38</v>
      </c>
      <c r="I147" s="1" t="s">
        <v>277</v>
      </c>
      <c r="J147" s="1" t="s">
        <v>34</v>
      </c>
      <c r="K147">
        <v>3</v>
      </c>
      <c r="L147">
        <v>452</v>
      </c>
      <c r="M147">
        <f t="shared" si="2"/>
        <v>1356</v>
      </c>
      <c r="N147" s="1" t="s">
        <v>26</v>
      </c>
      <c r="O147">
        <v>2018</v>
      </c>
      <c r="P147" s="1" t="s">
        <v>50</v>
      </c>
      <c r="Q147" s="1" t="s">
        <v>28</v>
      </c>
      <c r="R147" s="1" t="s">
        <v>29</v>
      </c>
    </row>
    <row r="148" spans="1:18" x14ac:dyDescent="0.25">
      <c r="A148" s="1" t="s">
        <v>18</v>
      </c>
      <c r="B148" s="1" t="s">
        <v>115</v>
      </c>
      <c r="C148" s="1" t="s">
        <v>557</v>
      </c>
      <c r="D148" s="1" t="s">
        <v>21</v>
      </c>
      <c r="E148">
        <v>51.776899999999998</v>
      </c>
      <c r="F148">
        <v>19.454699999999999</v>
      </c>
      <c r="G148" s="1" t="s">
        <v>31</v>
      </c>
      <c r="H148" s="1" t="s">
        <v>32</v>
      </c>
      <c r="I148" s="1" t="s">
        <v>313</v>
      </c>
      <c r="J148" s="1" t="s">
        <v>25</v>
      </c>
      <c r="K148">
        <v>4</v>
      </c>
      <c r="L148">
        <v>361</v>
      </c>
      <c r="M148">
        <f t="shared" si="2"/>
        <v>1444</v>
      </c>
      <c r="N148" s="1" t="s">
        <v>26</v>
      </c>
      <c r="O148">
        <v>2018</v>
      </c>
      <c r="P148" s="1" t="s">
        <v>81</v>
      </c>
      <c r="Q148" s="1" t="s">
        <v>41</v>
      </c>
      <c r="R148" s="1" t="s">
        <v>42</v>
      </c>
    </row>
    <row r="149" spans="1:18" x14ac:dyDescent="0.25">
      <c r="A149" s="1" t="s">
        <v>18</v>
      </c>
      <c r="B149" s="1" t="s">
        <v>220</v>
      </c>
      <c r="C149" s="1" t="s">
        <v>587</v>
      </c>
      <c r="D149" s="1" t="s">
        <v>21</v>
      </c>
      <c r="E149">
        <v>50.323900000000002</v>
      </c>
      <c r="F149">
        <v>19.194700000000001</v>
      </c>
      <c r="G149" s="1" t="s">
        <v>22</v>
      </c>
      <c r="H149" s="1" t="s">
        <v>74</v>
      </c>
      <c r="I149" s="1" t="s">
        <v>226</v>
      </c>
      <c r="J149" s="1" t="s">
        <v>88</v>
      </c>
      <c r="K149">
        <v>24</v>
      </c>
      <c r="L149">
        <v>610</v>
      </c>
      <c r="M149">
        <f t="shared" si="2"/>
        <v>14640</v>
      </c>
      <c r="N149" s="1" t="s">
        <v>314</v>
      </c>
      <c r="O149">
        <v>2018</v>
      </c>
      <c r="P149" s="1" t="s">
        <v>55</v>
      </c>
      <c r="Q149" s="1" t="s">
        <v>56</v>
      </c>
      <c r="R149" s="1" t="s">
        <v>57</v>
      </c>
    </row>
    <row r="150" spans="1:18" x14ac:dyDescent="0.25">
      <c r="A150" s="1" t="s">
        <v>18</v>
      </c>
      <c r="B150" s="1" t="s">
        <v>311</v>
      </c>
      <c r="C150" s="1" t="s">
        <v>312</v>
      </c>
      <c r="D150" s="1" t="s">
        <v>21</v>
      </c>
      <c r="E150">
        <v>49.9833</v>
      </c>
      <c r="F150">
        <v>20.433299999999999</v>
      </c>
      <c r="G150" s="1" t="s">
        <v>31</v>
      </c>
      <c r="H150" s="1" t="s">
        <v>38</v>
      </c>
      <c r="I150" s="1" t="s">
        <v>315</v>
      </c>
      <c r="J150" s="1" t="s">
        <v>25</v>
      </c>
      <c r="K150">
        <v>4</v>
      </c>
      <c r="L150">
        <v>334</v>
      </c>
      <c r="M150">
        <f t="shared" si="2"/>
        <v>1336</v>
      </c>
      <c r="N150" s="1" t="s">
        <v>26</v>
      </c>
      <c r="O150">
        <v>2018</v>
      </c>
      <c r="P150" s="1" t="s">
        <v>40</v>
      </c>
      <c r="Q150" s="1" t="s">
        <v>41</v>
      </c>
      <c r="R150" s="1" t="s">
        <v>42</v>
      </c>
    </row>
    <row r="151" spans="1:18" x14ac:dyDescent="0.25">
      <c r="A151" s="1" t="s">
        <v>18</v>
      </c>
      <c r="B151" s="1" t="s">
        <v>19</v>
      </c>
      <c r="C151" s="1" t="s">
        <v>20</v>
      </c>
      <c r="D151" s="1" t="s">
        <v>21</v>
      </c>
      <c r="E151">
        <v>51.2333</v>
      </c>
      <c r="F151">
        <v>22.566700000000001</v>
      </c>
      <c r="G151" s="1" t="s">
        <v>22</v>
      </c>
      <c r="H151" s="1" t="s">
        <v>23</v>
      </c>
      <c r="I151" s="1" t="s">
        <v>282</v>
      </c>
      <c r="J151" s="1" t="s">
        <v>25</v>
      </c>
      <c r="K151">
        <v>3</v>
      </c>
      <c r="L151">
        <v>311</v>
      </c>
      <c r="M151">
        <f t="shared" si="2"/>
        <v>933</v>
      </c>
      <c r="N151" s="1" t="s">
        <v>26</v>
      </c>
      <c r="O151">
        <v>2018</v>
      </c>
      <c r="P151" s="1" t="s">
        <v>95</v>
      </c>
      <c r="Q151" s="1" t="s">
        <v>67</v>
      </c>
      <c r="R151" s="1" t="s">
        <v>68</v>
      </c>
    </row>
    <row r="152" spans="1:18" x14ac:dyDescent="0.25">
      <c r="A152" s="1" t="s">
        <v>18</v>
      </c>
      <c r="B152" s="1" t="s">
        <v>138</v>
      </c>
      <c r="C152" s="1" t="s">
        <v>563</v>
      </c>
      <c r="D152" s="1" t="s">
        <v>21</v>
      </c>
      <c r="E152">
        <v>53.2667</v>
      </c>
      <c r="F152">
        <v>16.466699999999999</v>
      </c>
      <c r="G152" s="1" t="s">
        <v>22</v>
      </c>
      <c r="H152" s="1" t="s">
        <v>74</v>
      </c>
      <c r="I152" s="1" t="s">
        <v>316</v>
      </c>
      <c r="J152" s="1" t="s">
        <v>45</v>
      </c>
      <c r="K152">
        <v>6</v>
      </c>
      <c r="L152">
        <v>631</v>
      </c>
      <c r="M152">
        <f t="shared" si="2"/>
        <v>3786</v>
      </c>
      <c r="N152" s="1" t="s">
        <v>26</v>
      </c>
      <c r="O152">
        <v>2018</v>
      </c>
      <c r="P152" s="1" t="s">
        <v>77</v>
      </c>
      <c r="Q152" s="1" t="s">
        <v>56</v>
      </c>
      <c r="R152" s="1" t="s">
        <v>57</v>
      </c>
    </row>
    <row r="153" spans="1:18" x14ac:dyDescent="0.25">
      <c r="A153" s="1" t="s">
        <v>18</v>
      </c>
      <c r="B153" s="1" t="s">
        <v>189</v>
      </c>
      <c r="C153" s="1" t="s">
        <v>190</v>
      </c>
      <c r="D153" s="1" t="s">
        <v>21</v>
      </c>
      <c r="E153">
        <v>54.441899999999997</v>
      </c>
      <c r="F153">
        <v>18.547799999999999</v>
      </c>
      <c r="G153" s="1" t="s">
        <v>22</v>
      </c>
      <c r="H153" s="1" t="s">
        <v>23</v>
      </c>
      <c r="I153" s="1" t="s">
        <v>280</v>
      </c>
      <c r="J153" s="1" t="s">
        <v>45</v>
      </c>
      <c r="K153">
        <v>6</v>
      </c>
      <c r="L153">
        <v>613</v>
      </c>
      <c r="M153">
        <f t="shared" si="2"/>
        <v>3678</v>
      </c>
      <c r="N153" s="1" t="s">
        <v>26</v>
      </c>
      <c r="O153">
        <v>2018</v>
      </c>
      <c r="P153" s="1" t="s">
        <v>106</v>
      </c>
      <c r="Q153" s="1" t="s">
        <v>67</v>
      </c>
      <c r="R153" s="1" t="s">
        <v>68</v>
      </c>
    </row>
    <row r="154" spans="1:18" x14ac:dyDescent="0.25">
      <c r="A154" s="1" t="s">
        <v>18</v>
      </c>
      <c r="B154" s="1" t="s">
        <v>317</v>
      </c>
      <c r="C154" s="1" t="s">
        <v>609</v>
      </c>
      <c r="D154" s="1" t="s">
        <v>21</v>
      </c>
      <c r="E154">
        <v>50.033299999999997</v>
      </c>
      <c r="F154">
        <v>19.2333</v>
      </c>
      <c r="G154" s="1" t="s">
        <v>22</v>
      </c>
      <c r="H154" s="1" t="s">
        <v>74</v>
      </c>
      <c r="I154" s="1" t="s">
        <v>247</v>
      </c>
      <c r="J154" s="1" t="s">
        <v>25</v>
      </c>
      <c r="K154">
        <v>10</v>
      </c>
      <c r="L154">
        <v>708</v>
      </c>
      <c r="M154">
        <f t="shared" si="2"/>
        <v>7080</v>
      </c>
      <c r="N154" s="1" t="s">
        <v>26</v>
      </c>
      <c r="O154">
        <v>2018</v>
      </c>
      <c r="P154" s="1" t="s">
        <v>71</v>
      </c>
      <c r="Q154" s="1" t="s">
        <v>41</v>
      </c>
      <c r="R154" s="1" t="s">
        <v>42</v>
      </c>
    </row>
    <row r="155" spans="1:18" x14ac:dyDescent="0.25">
      <c r="A155" s="1" t="s">
        <v>18</v>
      </c>
      <c r="B155" s="1" t="s">
        <v>194</v>
      </c>
      <c r="C155" s="1" t="s">
        <v>195</v>
      </c>
      <c r="D155" s="1" t="s">
        <v>21</v>
      </c>
      <c r="E155">
        <v>50.473799999999997</v>
      </c>
      <c r="F155">
        <v>17.334399999999999</v>
      </c>
      <c r="G155" s="1" t="s">
        <v>31</v>
      </c>
      <c r="H155" s="1" t="s">
        <v>32</v>
      </c>
      <c r="I155" s="1" t="s">
        <v>191</v>
      </c>
      <c r="J155" s="1" t="s">
        <v>117</v>
      </c>
      <c r="K155">
        <v>6</v>
      </c>
      <c r="L155">
        <v>206</v>
      </c>
      <c r="M155">
        <f t="shared" si="2"/>
        <v>1236</v>
      </c>
      <c r="N155" s="1" t="s">
        <v>85</v>
      </c>
      <c r="O155">
        <v>2018</v>
      </c>
      <c r="P155" s="1" t="s">
        <v>103</v>
      </c>
      <c r="Q155" s="1" t="s">
        <v>56</v>
      </c>
      <c r="R155" s="1" t="s">
        <v>57</v>
      </c>
    </row>
    <row r="156" spans="1:18" x14ac:dyDescent="0.25">
      <c r="A156" s="1" t="s">
        <v>18</v>
      </c>
      <c r="B156" s="1" t="s">
        <v>308</v>
      </c>
      <c r="C156" s="1" t="s">
        <v>608</v>
      </c>
      <c r="D156" s="1" t="s">
        <v>21</v>
      </c>
      <c r="E156">
        <v>49.666699999999999</v>
      </c>
      <c r="F156">
        <v>18.866700000000002</v>
      </c>
      <c r="G156" s="1" t="s">
        <v>31</v>
      </c>
      <c r="H156" s="1" t="s">
        <v>38</v>
      </c>
      <c r="I156" s="1" t="s">
        <v>318</v>
      </c>
      <c r="J156" s="1" t="s">
        <v>88</v>
      </c>
      <c r="K156">
        <v>3</v>
      </c>
      <c r="L156">
        <v>80</v>
      </c>
      <c r="M156">
        <f t="shared" si="2"/>
        <v>240</v>
      </c>
      <c r="N156" s="1" t="s">
        <v>26</v>
      </c>
      <c r="O156">
        <v>2018</v>
      </c>
      <c r="P156" s="1" t="s">
        <v>66</v>
      </c>
      <c r="Q156" s="1" t="s">
        <v>67</v>
      </c>
      <c r="R156" s="1" t="s">
        <v>68</v>
      </c>
    </row>
    <row r="157" spans="1:18" x14ac:dyDescent="0.25">
      <c r="A157" s="1" t="s">
        <v>18</v>
      </c>
      <c r="B157" s="1" t="s">
        <v>319</v>
      </c>
      <c r="C157" s="1" t="s">
        <v>320</v>
      </c>
      <c r="D157" s="1" t="s">
        <v>21</v>
      </c>
      <c r="E157">
        <v>50.3</v>
      </c>
      <c r="F157">
        <v>19.166699999999999</v>
      </c>
      <c r="G157" s="1" t="s">
        <v>31</v>
      </c>
      <c r="H157" s="1" t="s">
        <v>32</v>
      </c>
      <c r="I157" s="1" t="s">
        <v>62</v>
      </c>
      <c r="J157" s="1" t="s">
        <v>25</v>
      </c>
      <c r="K157">
        <v>4</v>
      </c>
      <c r="L157">
        <v>742</v>
      </c>
      <c r="M157">
        <f t="shared" si="2"/>
        <v>2968</v>
      </c>
      <c r="N157" s="1" t="s">
        <v>85</v>
      </c>
      <c r="O157">
        <v>2018</v>
      </c>
      <c r="P157" s="1" t="s">
        <v>106</v>
      </c>
      <c r="Q157" s="1" t="s">
        <v>67</v>
      </c>
      <c r="R157" s="1" t="s">
        <v>68</v>
      </c>
    </row>
    <row r="158" spans="1:18" x14ac:dyDescent="0.25">
      <c r="A158" s="1" t="s">
        <v>18</v>
      </c>
      <c r="B158" s="1" t="s">
        <v>321</v>
      </c>
      <c r="C158" s="1" t="s">
        <v>610</v>
      </c>
      <c r="D158" s="1" t="s">
        <v>21</v>
      </c>
      <c r="E158">
        <v>50.170999999999999</v>
      </c>
      <c r="F158">
        <v>18.9041</v>
      </c>
      <c r="G158" s="1" t="s">
        <v>22</v>
      </c>
      <c r="H158" s="1" t="s">
        <v>74</v>
      </c>
      <c r="I158" s="1" t="s">
        <v>322</v>
      </c>
      <c r="J158" s="1" t="s">
        <v>80</v>
      </c>
      <c r="K158">
        <v>10</v>
      </c>
      <c r="L158">
        <v>34</v>
      </c>
      <c r="M158">
        <f t="shared" si="2"/>
        <v>340</v>
      </c>
      <c r="N158" s="1" t="s">
        <v>26</v>
      </c>
      <c r="O158">
        <v>2018</v>
      </c>
      <c r="P158" s="1" t="s">
        <v>55</v>
      </c>
      <c r="Q158" s="1" t="s">
        <v>56</v>
      </c>
      <c r="R158" s="1" t="s">
        <v>57</v>
      </c>
    </row>
    <row r="159" spans="1:18" x14ac:dyDescent="0.25">
      <c r="A159" s="1" t="s">
        <v>18</v>
      </c>
      <c r="B159" s="1" t="s">
        <v>46</v>
      </c>
      <c r="C159" s="1" t="s">
        <v>47</v>
      </c>
      <c r="D159" s="1" t="s">
        <v>21</v>
      </c>
      <c r="E159">
        <v>53.78</v>
      </c>
      <c r="F159">
        <v>20.494199999999999</v>
      </c>
      <c r="G159" s="1" t="s">
        <v>31</v>
      </c>
      <c r="H159" s="1" t="s">
        <v>32</v>
      </c>
      <c r="I159" s="1" t="s">
        <v>170</v>
      </c>
      <c r="J159" s="1" t="s">
        <v>25</v>
      </c>
      <c r="K159">
        <v>10</v>
      </c>
      <c r="L159">
        <v>99</v>
      </c>
      <c r="M159">
        <f t="shared" si="2"/>
        <v>990</v>
      </c>
      <c r="N159" s="1" t="s">
        <v>26</v>
      </c>
      <c r="O159">
        <v>2018</v>
      </c>
      <c r="P159" s="1" t="s">
        <v>50</v>
      </c>
      <c r="Q159" s="1" t="s">
        <v>28</v>
      </c>
      <c r="R159" s="1" t="s">
        <v>29</v>
      </c>
    </row>
    <row r="160" spans="1:18" x14ac:dyDescent="0.25">
      <c r="A160" s="1" t="s">
        <v>18</v>
      </c>
      <c r="B160" s="1" t="s">
        <v>323</v>
      </c>
      <c r="C160" s="1" t="s">
        <v>324</v>
      </c>
      <c r="D160" s="1" t="s">
        <v>21</v>
      </c>
      <c r="E160">
        <v>50.059100000000001</v>
      </c>
      <c r="F160">
        <v>22.4941</v>
      </c>
      <c r="G160" s="1" t="s">
        <v>31</v>
      </c>
      <c r="H160" s="1" t="s">
        <v>38</v>
      </c>
      <c r="I160" s="1" t="s">
        <v>325</v>
      </c>
      <c r="J160" s="1" t="s">
        <v>34</v>
      </c>
      <c r="K160">
        <v>5</v>
      </c>
      <c r="L160">
        <v>400</v>
      </c>
      <c r="M160">
        <f t="shared" si="2"/>
        <v>2000</v>
      </c>
      <c r="N160" s="1" t="s">
        <v>26</v>
      </c>
      <c r="O160">
        <v>2018</v>
      </c>
      <c r="P160" s="1" t="s">
        <v>81</v>
      </c>
      <c r="Q160" s="1" t="s">
        <v>41</v>
      </c>
      <c r="R160" s="1" t="s">
        <v>42</v>
      </c>
    </row>
    <row r="161" spans="1:18" x14ac:dyDescent="0.25">
      <c r="A161" s="1" t="s">
        <v>18</v>
      </c>
      <c r="B161" s="1" t="s">
        <v>326</v>
      </c>
      <c r="C161" s="1" t="s">
        <v>611</v>
      </c>
      <c r="D161" s="1" t="s">
        <v>21</v>
      </c>
      <c r="E161">
        <v>53.183300000000003</v>
      </c>
      <c r="F161">
        <v>22.083300000000001</v>
      </c>
      <c r="G161" s="1" t="s">
        <v>31</v>
      </c>
      <c r="H161" s="1" t="s">
        <v>32</v>
      </c>
      <c r="I161" s="1" t="s">
        <v>327</v>
      </c>
      <c r="J161" s="1" t="s">
        <v>25</v>
      </c>
      <c r="K161">
        <v>6</v>
      </c>
      <c r="L161">
        <v>140</v>
      </c>
      <c r="M161">
        <f t="shared" si="2"/>
        <v>840</v>
      </c>
      <c r="N161" s="1" t="s">
        <v>85</v>
      </c>
      <c r="O161">
        <v>2018</v>
      </c>
      <c r="P161" s="1" t="s">
        <v>106</v>
      </c>
      <c r="Q161" s="1" t="s">
        <v>67</v>
      </c>
      <c r="R161" s="1" t="s">
        <v>68</v>
      </c>
    </row>
    <row r="162" spans="1:18" x14ac:dyDescent="0.25">
      <c r="A162" s="1" t="s">
        <v>18</v>
      </c>
      <c r="B162" s="1" t="s">
        <v>328</v>
      </c>
      <c r="C162" s="1" t="s">
        <v>329</v>
      </c>
      <c r="D162" s="1" t="s">
        <v>21</v>
      </c>
      <c r="E162">
        <v>49.6556</v>
      </c>
      <c r="F162">
        <v>21.160399999999999</v>
      </c>
      <c r="G162" s="1" t="s">
        <v>22</v>
      </c>
      <c r="H162" s="1" t="s">
        <v>74</v>
      </c>
      <c r="I162" s="1" t="s">
        <v>330</v>
      </c>
      <c r="J162" s="1" t="s">
        <v>45</v>
      </c>
      <c r="K162">
        <v>5</v>
      </c>
      <c r="L162">
        <v>113</v>
      </c>
      <c r="M162">
        <f t="shared" si="2"/>
        <v>565</v>
      </c>
      <c r="N162" s="1" t="s">
        <v>26</v>
      </c>
      <c r="O162">
        <v>2018</v>
      </c>
      <c r="P162" s="1" t="s">
        <v>40</v>
      </c>
      <c r="Q162" s="1" t="s">
        <v>41</v>
      </c>
      <c r="R162" s="1" t="s">
        <v>42</v>
      </c>
    </row>
    <row r="163" spans="1:18" x14ac:dyDescent="0.25">
      <c r="A163" s="1" t="s">
        <v>18</v>
      </c>
      <c r="B163" s="1" t="s">
        <v>331</v>
      </c>
      <c r="C163" s="1" t="s">
        <v>612</v>
      </c>
      <c r="D163" s="1" t="s">
        <v>21</v>
      </c>
      <c r="E163">
        <v>54.166699999999999</v>
      </c>
      <c r="F163">
        <v>15.566700000000001</v>
      </c>
      <c r="G163" s="1" t="s">
        <v>31</v>
      </c>
      <c r="H163" s="1" t="s">
        <v>38</v>
      </c>
      <c r="I163" s="1" t="s">
        <v>332</v>
      </c>
      <c r="J163" s="1" t="s">
        <v>117</v>
      </c>
      <c r="K163">
        <v>11</v>
      </c>
      <c r="L163">
        <v>408</v>
      </c>
      <c r="M163">
        <f t="shared" si="2"/>
        <v>4488</v>
      </c>
      <c r="N163" s="1" t="s">
        <v>26</v>
      </c>
      <c r="O163">
        <v>2018</v>
      </c>
      <c r="P163" s="1" t="s">
        <v>71</v>
      </c>
      <c r="Q163" s="1" t="s">
        <v>41</v>
      </c>
      <c r="R163" s="1" t="s">
        <v>42</v>
      </c>
    </row>
    <row r="164" spans="1:18" x14ac:dyDescent="0.25">
      <c r="A164" s="1" t="s">
        <v>18</v>
      </c>
      <c r="B164" s="1" t="s">
        <v>270</v>
      </c>
      <c r="C164" s="1" t="s">
        <v>271</v>
      </c>
      <c r="D164" s="1" t="s">
        <v>21</v>
      </c>
      <c r="E164">
        <v>51</v>
      </c>
      <c r="F164">
        <v>16.333300000000001</v>
      </c>
      <c r="G164" s="1" t="s">
        <v>31</v>
      </c>
      <c r="H164" s="1" t="s">
        <v>38</v>
      </c>
      <c r="I164" s="1" t="s">
        <v>333</v>
      </c>
      <c r="J164" s="1" t="s">
        <v>45</v>
      </c>
      <c r="K164">
        <v>5</v>
      </c>
      <c r="L164">
        <v>319</v>
      </c>
      <c r="M164">
        <f t="shared" si="2"/>
        <v>1595</v>
      </c>
      <c r="N164" s="1" t="s">
        <v>26</v>
      </c>
      <c r="O164">
        <v>2018</v>
      </c>
      <c r="P164" s="1" t="s">
        <v>35</v>
      </c>
      <c r="Q164" s="1" t="s">
        <v>28</v>
      </c>
      <c r="R164" s="1" t="s">
        <v>29</v>
      </c>
    </row>
    <row r="165" spans="1:18" x14ac:dyDescent="0.25">
      <c r="A165" s="1" t="s">
        <v>18</v>
      </c>
      <c r="B165" s="1" t="s">
        <v>321</v>
      </c>
      <c r="C165" s="1" t="s">
        <v>610</v>
      </c>
      <c r="D165" s="1" t="s">
        <v>21</v>
      </c>
      <c r="E165">
        <v>50.170999999999999</v>
      </c>
      <c r="F165">
        <v>18.9041</v>
      </c>
      <c r="G165" s="1" t="s">
        <v>22</v>
      </c>
      <c r="H165" s="1" t="s">
        <v>74</v>
      </c>
      <c r="I165" s="1" t="s">
        <v>310</v>
      </c>
      <c r="J165" s="1" t="s">
        <v>25</v>
      </c>
      <c r="K165">
        <v>10</v>
      </c>
      <c r="L165">
        <v>513</v>
      </c>
      <c r="M165">
        <f t="shared" si="2"/>
        <v>5130</v>
      </c>
      <c r="N165" s="1" t="s">
        <v>26</v>
      </c>
      <c r="O165">
        <v>2018</v>
      </c>
      <c r="P165" s="1" t="s">
        <v>40</v>
      </c>
      <c r="Q165" s="1" t="s">
        <v>41</v>
      </c>
      <c r="R165" s="1" t="s">
        <v>42</v>
      </c>
    </row>
    <row r="166" spans="1:18" x14ac:dyDescent="0.25">
      <c r="A166" s="1" t="s">
        <v>18</v>
      </c>
      <c r="B166" s="1" t="s">
        <v>244</v>
      </c>
      <c r="C166" s="1" t="s">
        <v>592</v>
      </c>
      <c r="D166" s="1" t="s">
        <v>21</v>
      </c>
      <c r="E166">
        <v>50.313099999999999</v>
      </c>
      <c r="F166">
        <v>17.374199999999998</v>
      </c>
      <c r="G166" s="1" t="s">
        <v>22</v>
      </c>
      <c r="H166" s="1" t="s">
        <v>74</v>
      </c>
      <c r="I166" s="1" t="s">
        <v>334</v>
      </c>
      <c r="J166" s="1" t="s">
        <v>80</v>
      </c>
      <c r="K166">
        <v>6</v>
      </c>
      <c r="L166">
        <v>345</v>
      </c>
      <c r="M166">
        <f t="shared" si="2"/>
        <v>2070</v>
      </c>
      <c r="N166" s="1" t="s">
        <v>26</v>
      </c>
      <c r="O166">
        <v>2018</v>
      </c>
      <c r="P166" s="1" t="s">
        <v>71</v>
      </c>
      <c r="Q166" s="1" t="s">
        <v>41</v>
      </c>
      <c r="R166" s="1" t="s">
        <v>42</v>
      </c>
    </row>
    <row r="167" spans="1:18" x14ac:dyDescent="0.25">
      <c r="A167" s="1" t="s">
        <v>18</v>
      </c>
      <c r="B167" s="1" t="s">
        <v>136</v>
      </c>
      <c r="C167" s="1" t="s">
        <v>562</v>
      </c>
      <c r="D167" s="1" t="s">
        <v>218</v>
      </c>
      <c r="E167">
        <v>49.822499999999998</v>
      </c>
      <c r="F167">
        <v>19.0444</v>
      </c>
      <c r="G167" s="1" t="s">
        <v>31</v>
      </c>
      <c r="H167" s="1" t="s">
        <v>38</v>
      </c>
      <c r="I167" s="1" t="s">
        <v>335</v>
      </c>
      <c r="J167" s="1" t="s">
        <v>80</v>
      </c>
      <c r="K167">
        <v>6</v>
      </c>
      <c r="L167">
        <v>375</v>
      </c>
      <c r="M167">
        <f t="shared" si="2"/>
        <v>2250</v>
      </c>
      <c r="N167" s="1" t="s">
        <v>26</v>
      </c>
      <c r="O167">
        <v>2018</v>
      </c>
      <c r="P167" s="1" t="s">
        <v>40</v>
      </c>
      <c r="Q167" s="1" t="s">
        <v>41</v>
      </c>
      <c r="R167" s="1" t="s">
        <v>42</v>
      </c>
    </row>
    <row r="168" spans="1:18" x14ac:dyDescent="0.25">
      <c r="A168" s="1" t="s">
        <v>18</v>
      </c>
      <c r="B168" s="1" t="s">
        <v>63</v>
      </c>
      <c r="C168" s="1" t="s">
        <v>64</v>
      </c>
      <c r="D168" s="1" t="s">
        <v>218</v>
      </c>
      <c r="E168">
        <v>53.3583</v>
      </c>
      <c r="F168">
        <v>20.425000000000001</v>
      </c>
      <c r="G168" s="1" t="s">
        <v>22</v>
      </c>
      <c r="H168" s="1" t="s">
        <v>23</v>
      </c>
      <c r="I168" s="1" t="s">
        <v>330</v>
      </c>
      <c r="J168" s="1" t="s">
        <v>45</v>
      </c>
      <c r="K168">
        <v>6</v>
      </c>
      <c r="L168">
        <v>113</v>
      </c>
      <c r="M168">
        <f t="shared" si="2"/>
        <v>678</v>
      </c>
      <c r="N168" s="1" t="s">
        <v>26</v>
      </c>
      <c r="O168">
        <v>2018</v>
      </c>
      <c r="P168" s="1" t="s">
        <v>60</v>
      </c>
      <c r="Q168" s="1" t="s">
        <v>28</v>
      </c>
      <c r="R168" s="1" t="s">
        <v>29</v>
      </c>
    </row>
    <row r="169" spans="1:18" x14ac:dyDescent="0.25">
      <c r="A169" s="1" t="s">
        <v>18</v>
      </c>
      <c r="B169" s="1" t="s">
        <v>164</v>
      </c>
      <c r="C169" s="1" t="s">
        <v>572</v>
      </c>
      <c r="D169" s="1" t="s">
        <v>21</v>
      </c>
      <c r="E169">
        <v>53.4925</v>
      </c>
      <c r="F169">
        <v>18.7761</v>
      </c>
      <c r="G169" s="1" t="s">
        <v>31</v>
      </c>
      <c r="H169" s="1" t="s">
        <v>32</v>
      </c>
      <c r="I169" s="1" t="s">
        <v>313</v>
      </c>
      <c r="J169" s="1" t="s">
        <v>25</v>
      </c>
      <c r="K169">
        <v>2</v>
      </c>
      <c r="L169">
        <v>361</v>
      </c>
      <c r="M169">
        <f t="shared" si="2"/>
        <v>722</v>
      </c>
      <c r="N169" s="1" t="s">
        <v>26</v>
      </c>
      <c r="O169">
        <v>2018</v>
      </c>
      <c r="P169" s="1" t="s">
        <v>71</v>
      </c>
      <c r="Q169" s="1" t="s">
        <v>41</v>
      </c>
      <c r="R169" s="1" t="s">
        <v>42</v>
      </c>
    </row>
    <row r="170" spans="1:18" x14ac:dyDescent="0.25">
      <c r="A170" s="1" t="s">
        <v>18</v>
      </c>
      <c r="B170" s="1" t="s">
        <v>63</v>
      </c>
      <c r="C170" s="1" t="s">
        <v>64</v>
      </c>
      <c r="D170" s="1" t="s">
        <v>21</v>
      </c>
      <c r="E170">
        <v>53.3583</v>
      </c>
      <c r="F170">
        <v>20.425000000000001</v>
      </c>
      <c r="G170" s="1" t="s">
        <v>22</v>
      </c>
      <c r="H170" s="1" t="s">
        <v>23</v>
      </c>
      <c r="I170" s="1" t="s">
        <v>336</v>
      </c>
      <c r="J170" s="1" t="s">
        <v>80</v>
      </c>
      <c r="K170">
        <v>3</v>
      </c>
      <c r="L170">
        <v>612</v>
      </c>
      <c r="M170">
        <f t="shared" si="2"/>
        <v>1836</v>
      </c>
      <c r="N170" s="1" t="s">
        <v>26</v>
      </c>
      <c r="O170">
        <v>2018</v>
      </c>
      <c r="P170" s="1" t="s">
        <v>95</v>
      </c>
      <c r="Q170" s="1" t="s">
        <v>67</v>
      </c>
      <c r="R170" s="1" t="s">
        <v>68</v>
      </c>
    </row>
    <row r="171" spans="1:18" x14ac:dyDescent="0.25">
      <c r="A171" s="1" t="s">
        <v>18</v>
      </c>
      <c r="B171" s="1" t="s">
        <v>337</v>
      </c>
      <c r="C171" s="1" t="s">
        <v>338</v>
      </c>
      <c r="D171" s="1" t="s">
        <v>21</v>
      </c>
      <c r="E171">
        <v>53.735799999999998</v>
      </c>
      <c r="F171">
        <v>18.930800000000001</v>
      </c>
      <c r="G171" s="1" t="s">
        <v>31</v>
      </c>
      <c r="H171" s="1" t="s">
        <v>38</v>
      </c>
      <c r="I171" s="1" t="s">
        <v>339</v>
      </c>
      <c r="J171" s="1" t="s">
        <v>88</v>
      </c>
      <c r="K171">
        <v>3</v>
      </c>
      <c r="L171">
        <v>590</v>
      </c>
      <c r="M171">
        <f t="shared" si="2"/>
        <v>1770</v>
      </c>
      <c r="N171" s="1" t="s">
        <v>85</v>
      </c>
      <c r="O171">
        <v>2018</v>
      </c>
      <c r="P171" s="1" t="s">
        <v>55</v>
      </c>
      <c r="Q171" s="1" t="s">
        <v>56</v>
      </c>
      <c r="R171" s="1" t="s">
        <v>57</v>
      </c>
    </row>
    <row r="172" spans="1:18" x14ac:dyDescent="0.25">
      <c r="A172" s="1" t="s">
        <v>18</v>
      </c>
      <c r="B172" s="1" t="s">
        <v>340</v>
      </c>
      <c r="C172" s="1" t="s">
        <v>341</v>
      </c>
      <c r="D172" s="1" t="s">
        <v>218</v>
      </c>
      <c r="E172">
        <v>53.116700000000002</v>
      </c>
      <c r="F172">
        <v>18</v>
      </c>
      <c r="G172" s="1" t="s">
        <v>22</v>
      </c>
      <c r="H172" s="1" t="s">
        <v>23</v>
      </c>
      <c r="I172" s="1" t="s">
        <v>288</v>
      </c>
      <c r="J172" s="1" t="s">
        <v>34</v>
      </c>
      <c r="K172">
        <v>1</v>
      </c>
      <c r="L172">
        <v>401</v>
      </c>
      <c r="M172">
        <f t="shared" si="2"/>
        <v>401</v>
      </c>
      <c r="N172" s="1" t="s">
        <v>26</v>
      </c>
      <c r="O172">
        <v>2018</v>
      </c>
      <c r="P172" s="1" t="s">
        <v>66</v>
      </c>
      <c r="Q172" s="1" t="s">
        <v>67</v>
      </c>
      <c r="R172" s="1" t="s">
        <v>68</v>
      </c>
    </row>
    <row r="173" spans="1:18" x14ac:dyDescent="0.25">
      <c r="A173" s="1" t="s">
        <v>18</v>
      </c>
      <c r="B173" s="1" t="s">
        <v>126</v>
      </c>
      <c r="C173" s="1" t="s">
        <v>127</v>
      </c>
      <c r="D173" s="1" t="s">
        <v>21</v>
      </c>
      <c r="E173">
        <v>50.475099999999998</v>
      </c>
      <c r="F173">
        <v>17.965399999999999</v>
      </c>
      <c r="G173" s="1" t="s">
        <v>31</v>
      </c>
      <c r="H173" s="1" t="s">
        <v>38</v>
      </c>
      <c r="I173" s="1" t="s">
        <v>342</v>
      </c>
      <c r="J173" s="1" t="s">
        <v>45</v>
      </c>
      <c r="K173">
        <v>5</v>
      </c>
      <c r="L173">
        <v>445</v>
      </c>
      <c r="M173">
        <f t="shared" si="2"/>
        <v>2225</v>
      </c>
      <c r="N173" s="1" t="s">
        <v>26</v>
      </c>
      <c r="O173">
        <v>2018</v>
      </c>
      <c r="P173" s="1" t="s">
        <v>81</v>
      </c>
      <c r="Q173" s="1" t="s">
        <v>41</v>
      </c>
      <c r="R173" s="1" t="s">
        <v>42</v>
      </c>
    </row>
    <row r="174" spans="1:18" x14ac:dyDescent="0.25">
      <c r="A174" s="1" t="s">
        <v>18</v>
      </c>
      <c r="B174" s="1" t="s">
        <v>343</v>
      </c>
      <c r="C174" s="1" t="s">
        <v>344</v>
      </c>
      <c r="D174" s="1" t="s">
        <v>21</v>
      </c>
      <c r="E174">
        <v>51.787700000000001</v>
      </c>
      <c r="F174">
        <v>14.9724</v>
      </c>
      <c r="G174" s="1" t="s">
        <v>22</v>
      </c>
      <c r="H174" s="1" t="s">
        <v>23</v>
      </c>
      <c r="I174" s="1" t="s">
        <v>288</v>
      </c>
      <c r="J174" s="1" t="s">
        <v>34</v>
      </c>
      <c r="K174">
        <v>20</v>
      </c>
      <c r="L174">
        <v>401</v>
      </c>
      <c r="M174">
        <f t="shared" si="2"/>
        <v>8020</v>
      </c>
      <c r="N174" s="1" t="s">
        <v>26</v>
      </c>
      <c r="O174">
        <v>2018</v>
      </c>
      <c r="P174" s="1" t="s">
        <v>66</v>
      </c>
      <c r="Q174" s="1" t="s">
        <v>67</v>
      </c>
      <c r="R174" s="1" t="s">
        <v>68</v>
      </c>
    </row>
    <row r="175" spans="1:18" x14ac:dyDescent="0.25">
      <c r="A175" s="1" t="s">
        <v>18</v>
      </c>
      <c r="B175" s="1" t="s">
        <v>319</v>
      </c>
      <c r="C175" s="1" t="s">
        <v>320</v>
      </c>
      <c r="D175" s="1" t="s">
        <v>218</v>
      </c>
      <c r="E175">
        <v>50.3</v>
      </c>
      <c r="F175">
        <v>19.166699999999999</v>
      </c>
      <c r="G175" s="1" t="s">
        <v>31</v>
      </c>
      <c r="H175" s="1" t="s">
        <v>32</v>
      </c>
      <c r="I175" s="1" t="s">
        <v>262</v>
      </c>
      <c r="J175" s="1" t="s">
        <v>80</v>
      </c>
      <c r="K175">
        <v>10</v>
      </c>
      <c r="L175">
        <v>655</v>
      </c>
      <c r="M175">
        <f t="shared" si="2"/>
        <v>6550</v>
      </c>
      <c r="N175" s="1" t="s">
        <v>26</v>
      </c>
      <c r="O175">
        <v>2018</v>
      </c>
      <c r="P175" s="1" t="s">
        <v>81</v>
      </c>
      <c r="Q175" s="1" t="s">
        <v>41</v>
      </c>
      <c r="R175" s="1" t="s">
        <v>42</v>
      </c>
    </row>
    <row r="176" spans="1:18" x14ac:dyDescent="0.25">
      <c r="A176" s="1" t="s">
        <v>18</v>
      </c>
      <c r="B176" s="1" t="s">
        <v>345</v>
      </c>
      <c r="C176" s="1" t="s">
        <v>613</v>
      </c>
      <c r="D176" s="1" t="s">
        <v>21</v>
      </c>
      <c r="E176">
        <v>50.933300000000003</v>
      </c>
      <c r="F176">
        <v>21.4</v>
      </c>
      <c r="G176" s="1" t="s">
        <v>31</v>
      </c>
      <c r="H176" s="1" t="s">
        <v>38</v>
      </c>
      <c r="I176" s="1" t="s">
        <v>346</v>
      </c>
      <c r="J176" s="1" t="s">
        <v>45</v>
      </c>
      <c r="K176">
        <v>6</v>
      </c>
      <c r="L176">
        <v>301</v>
      </c>
      <c r="M176">
        <f t="shared" si="2"/>
        <v>1806</v>
      </c>
      <c r="N176" s="1" t="s">
        <v>26</v>
      </c>
      <c r="O176">
        <v>2018</v>
      </c>
      <c r="P176" s="1" t="s">
        <v>50</v>
      </c>
      <c r="Q176" s="1" t="s">
        <v>28</v>
      </c>
      <c r="R176" s="1" t="s">
        <v>29</v>
      </c>
    </row>
    <row r="177" spans="1:18" x14ac:dyDescent="0.25">
      <c r="A177" s="1" t="s">
        <v>18</v>
      </c>
      <c r="B177" s="1" t="s">
        <v>30</v>
      </c>
      <c r="C177" s="1" t="s">
        <v>541</v>
      </c>
      <c r="D177" s="1" t="s">
        <v>21</v>
      </c>
      <c r="E177">
        <v>53.416699999999999</v>
      </c>
      <c r="F177">
        <v>18.433299999999999</v>
      </c>
      <c r="G177" s="1" t="s">
        <v>31</v>
      </c>
      <c r="H177" s="1" t="s">
        <v>32</v>
      </c>
      <c r="I177" s="1" t="s">
        <v>347</v>
      </c>
      <c r="J177" s="1" t="s">
        <v>117</v>
      </c>
      <c r="K177">
        <v>4</v>
      </c>
      <c r="L177">
        <v>73</v>
      </c>
      <c r="M177">
        <f t="shared" si="2"/>
        <v>292</v>
      </c>
      <c r="N177" s="1" t="s">
        <v>26</v>
      </c>
      <c r="O177">
        <v>2018</v>
      </c>
      <c r="P177" s="1" t="s">
        <v>95</v>
      </c>
      <c r="Q177" s="1" t="s">
        <v>67</v>
      </c>
      <c r="R177" s="1" t="s">
        <v>68</v>
      </c>
    </row>
    <row r="178" spans="1:18" x14ac:dyDescent="0.25">
      <c r="A178" s="1" t="s">
        <v>18</v>
      </c>
      <c r="B178" s="1" t="s">
        <v>348</v>
      </c>
      <c r="C178" s="1" t="s">
        <v>614</v>
      </c>
      <c r="D178" s="1" t="s">
        <v>21</v>
      </c>
      <c r="E178">
        <v>50.262799999999999</v>
      </c>
      <c r="F178">
        <v>18.8536</v>
      </c>
      <c r="G178" s="1" t="s">
        <v>31</v>
      </c>
      <c r="H178" s="1" t="s">
        <v>38</v>
      </c>
      <c r="I178" s="1" t="s">
        <v>349</v>
      </c>
      <c r="J178" s="1" t="s">
        <v>80</v>
      </c>
      <c r="K178">
        <v>10</v>
      </c>
      <c r="L178">
        <v>343</v>
      </c>
      <c r="M178">
        <f t="shared" si="2"/>
        <v>3430</v>
      </c>
      <c r="N178" s="1" t="s">
        <v>26</v>
      </c>
      <c r="O178">
        <v>2018</v>
      </c>
      <c r="P178" s="1" t="s">
        <v>50</v>
      </c>
      <c r="Q178" s="1" t="s">
        <v>28</v>
      </c>
      <c r="R178" s="1" t="s">
        <v>29</v>
      </c>
    </row>
    <row r="179" spans="1:18" x14ac:dyDescent="0.25">
      <c r="A179" s="1" t="s">
        <v>18</v>
      </c>
      <c r="B179" s="1" t="s">
        <v>350</v>
      </c>
      <c r="C179" s="1" t="s">
        <v>351</v>
      </c>
      <c r="D179" s="1" t="s">
        <v>21</v>
      </c>
      <c r="E179">
        <v>52.416699999999999</v>
      </c>
      <c r="F179">
        <v>19.466699999999999</v>
      </c>
      <c r="G179" s="1" t="s">
        <v>22</v>
      </c>
      <c r="H179" s="1" t="s">
        <v>23</v>
      </c>
      <c r="I179" s="1" t="s">
        <v>352</v>
      </c>
      <c r="J179" s="1" t="s">
        <v>80</v>
      </c>
      <c r="K179">
        <v>10</v>
      </c>
      <c r="L179">
        <v>35</v>
      </c>
      <c r="M179">
        <f t="shared" si="2"/>
        <v>350</v>
      </c>
      <c r="N179" s="1" t="s">
        <v>26</v>
      </c>
      <c r="O179">
        <v>2018</v>
      </c>
      <c r="P179" s="1" t="s">
        <v>77</v>
      </c>
      <c r="Q179" s="1" t="s">
        <v>56</v>
      </c>
      <c r="R179" s="1" t="s">
        <v>57</v>
      </c>
    </row>
    <row r="180" spans="1:18" x14ac:dyDescent="0.25">
      <c r="A180" s="1" t="s">
        <v>18</v>
      </c>
      <c r="B180" s="1" t="s">
        <v>343</v>
      </c>
      <c r="C180" s="1" t="s">
        <v>344</v>
      </c>
      <c r="D180" s="1" t="s">
        <v>21</v>
      </c>
      <c r="E180">
        <v>51.787700000000001</v>
      </c>
      <c r="F180">
        <v>14.9724</v>
      </c>
      <c r="G180" s="1" t="s">
        <v>22</v>
      </c>
      <c r="H180" s="1" t="s">
        <v>23</v>
      </c>
      <c r="I180" s="1" t="s">
        <v>353</v>
      </c>
      <c r="J180" s="1" t="s">
        <v>34</v>
      </c>
      <c r="K180">
        <v>6</v>
      </c>
      <c r="L180">
        <v>664</v>
      </c>
      <c r="M180">
        <f t="shared" si="2"/>
        <v>3984</v>
      </c>
      <c r="N180" s="1" t="s">
        <v>26</v>
      </c>
      <c r="O180">
        <v>2018</v>
      </c>
      <c r="P180" s="1" t="s">
        <v>50</v>
      </c>
      <c r="Q180" s="1" t="s">
        <v>28</v>
      </c>
      <c r="R180" s="1" t="s">
        <v>29</v>
      </c>
    </row>
    <row r="181" spans="1:18" x14ac:dyDescent="0.25">
      <c r="A181" s="1" t="s">
        <v>18</v>
      </c>
      <c r="B181" s="1" t="s">
        <v>189</v>
      </c>
      <c r="C181" s="1" t="s">
        <v>190</v>
      </c>
      <c r="D181" s="1" t="s">
        <v>21</v>
      </c>
      <c r="E181">
        <v>54.441899999999997</v>
      </c>
      <c r="F181">
        <v>18.547799999999999</v>
      </c>
      <c r="G181" s="1" t="s">
        <v>22</v>
      </c>
      <c r="H181" s="1" t="s">
        <v>23</v>
      </c>
      <c r="I181" s="1" t="s">
        <v>354</v>
      </c>
      <c r="J181" s="1" t="s">
        <v>88</v>
      </c>
      <c r="K181">
        <v>2</v>
      </c>
      <c r="L181">
        <v>420</v>
      </c>
      <c r="M181">
        <f t="shared" si="2"/>
        <v>840</v>
      </c>
      <c r="N181" s="1" t="s">
        <v>26</v>
      </c>
      <c r="O181">
        <v>2018</v>
      </c>
      <c r="P181" s="1" t="s">
        <v>60</v>
      </c>
      <c r="Q181" s="1" t="s">
        <v>28</v>
      </c>
      <c r="R181" s="1" t="s">
        <v>29</v>
      </c>
    </row>
    <row r="182" spans="1:18" x14ac:dyDescent="0.25">
      <c r="A182" s="1" t="s">
        <v>18</v>
      </c>
      <c r="B182" s="1" t="s">
        <v>259</v>
      </c>
      <c r="C182" s="1" t="s">
        <v>596</v>
      </c>
      <c r="D182" s="1" t="s">
        <v>21</v>
      </c>
      <c r="E182">
        <v>50.016199999999998</v>
      </c>
      <c r="F182">
        <v>22.677800000000001</v>
      </c>
      <c r="G182" s="1" t="s">
        <v>22</v>
      </c>
      <c r="H182" s="1" t="s">
        <v>74</v>
      </c>
      <c r="I182" s="1" t="s">
        <v>355</v>
      </c>
      <c r="J182" s="1" t="s">
        <v>117</v>
      </c>
      <c r="K182">
        <v>1</v>
      </c>
      <c r="L182">
        <v>420</v>
      </c>
      <c r="M182">
        <f t="shared" si="2"/>
        <v>420</v>
      </c>
      <c r="N182" s="1" t="s">
        <v>26</v>
      </c>
      <c r="O182">
        <v>2018</v>
      </c>
      <c r="P182" s="1" t="s">
        <v>66</v>
      </c>
      <c r="Q182" s="1" t="s">
        <v>67</v>
      </c>
      <c r="R182" s="1" t="s">
        <v>68</v>
      </c>
    </row>
    <row r="183" spans="1:18" x14ac:dyDescent="0.25">
      <c r="A183" s="1" t="s">
        <v>18</v>
      </c>
      <c r="B183" s="1" t="s">
        <v>89</v>
      </c>
      <c r="C183" s="1" t="s">
        <v>548</v>
      </c>
      <c r="D183" s="1" t="s">
        <v>21</v>
      </c>
      <c r="E183">
        <v>50.45</v>
      </c>
      <c r="F183">
        <v>18.866700000000002</v>
      </c>
      <c r="G183" s="1" t="s">
        <v>22</v>
      </c>
      <c r="H183" s="1" t="s">
        <v>23</v>
      </c>
      <c r="I183" s="1" t="s">
        <v>229</v>
      </c>
      <c r="J183" s="1" t="s">
        <v>80</v>
      </c>
      <c r="K183">
        <v>5</v>
      </c>
      <c r="L183">
        <v>794</v>
      </c>
      <c r="M183">
        <f t="shared" si="2"/>
        <v>3970</v>
      </c>
      <c r="N183" s="1" t="s">
        <v>26</v>
      </c>
      <c r="O183">
        <v>2018</v>
      </c>
      <c r="P183" s="1" t="s">
        <v>81</v>
      </c>
      <c r="Q183" s="1" t="s">
        <v>41</v>
      </c>
      <c r="R183" s="1" t="s">
        <v>42</v>
      </c>
    </row>
    <row r="184" spans="1:18" x14ac:dyDescent="0.25">
      <c r="A184" s="1" t="s">
        <v>18</v>
      </c>
      <c r="B184" s="1" t="s">
        <v>356</v>
      </c>
      <c r="C184" s="1" t="s">
        <v>357</v>
      </c>
      <c r="D184" s="1" t="s">
        <v>21</v>
      </c>
      <c r="E184">
        <v>50.673099999999998</v>
      </c>
      <c r="F184">
        <v>18.213100000000001</v>
      </c>
      <c r="G184" s="1" t="s">
        <v>31</v>
      </c>
      <c r="H184" s="1" t="s">
        <v>38</v>
      </c>
      <c r="I184" s="1" t="s">
        <v>284</v>
      </c>
      <c r="J184" s="1" t="s">
        <v>34</v>
      </c>
      <c r="K184">
        <v>4</v>
      </c>
      <c r="L184">
        <v>611</v>
      </c>
      <c r="M184">
        <f t="shared" si="2"/>
        <v>2444</v>
      </c>
      <c r="N184" s="1" t="s">
        <v>26</v>
      </c>
      <c r="O184">
        <v>2018</v>
      </c>
      <c r="P184" s="1" t="s">
        <v>60</v>
      </c>
      <c r="Q184" s="1" t="s">
        <v>28</v>
      </c>
      <c r="R184" s="1" t="s">
        <v>29</v>
      </c>
    </row>
    <row r="185" spans="1:18" x14ac:dyDescent="0.25">
      <c r="A185" s="1" t="s">
        <v>18</v>
      </c>
      <c r="B185" s="1" t="s">
        <v>358</v>
      </c>
      <c r="C185" s="1" t="s">
        <v>359</v>
      </c>
      <c r="D185" s="1" t="s">
        <v>21</v>
      </c>
      <c r="E185">
        <v>52.427199999999999</v>
      </c>
      <c r="F185">
        <v>22.862500000000001</v>
      </c>
      <c r="G185" s="1" t="s">
        <v>22</v>
      </c>
      <c r="H185" s="1" t="s">
        <v>23</v>
      </c>
      <c r="I185" s="1" t="s">
        <v>349</v>
      </c>
      <c r="J185" s="1" t="s">
        <v>80</v>
      </c>
      <c r="K185">
        <v>2</v>
      </c>
      <c r="L185">
        <v>343</v>
      </c>
      <c r="M185">
        <f t="shared" si="2"/>
        <v>686</v>
      </c>
      <c r="N185" s="1" t="s">
        <v>26</v>
      </c>
      <c r="O185">
        <v>2018</v>
      </c>
      <c r="P185" s="1" t="s">
        <v>27</v>
      </c>
      <c r="Q185" s="1" t="s">
        <v>28</v>
      </c>
      <c r="R185" s="1" t="s">
        <v>29</v>
      </c>
    </row>
    <row r="186" spans="1:18" x14ac:dyDescent="0.25">
      <c r="A186" s="1" t="s">
        <v>18</v>
      </c>
      <c r="B186" s="1" t="s">
        <v>63</v>
      </c>
      <c r="C186" s="1" t="s">
        <v>64</v>
      </c>
      <c r="D186" s="1" t="s">
        <v>21</v>
      </c>
      <c r="E186">
        <v>53.3583</v>
      </c>
      <c r="F186">
        <v>20.425000000000001</v>
      </c>
      <c r="G186" s="1" t="s">
        <v>22</v>
      </c>
      <c r="H186" s="1" t="s">
        <v>23</v>
      </c>
      <c r="I186" s="1" t="s">
        <v>128</v>
      </c>
      <c r="J186" s="1" t="s">
        <v>80</v>
      </c>
      <c r="K186">
        <v>2</v>
      </c>
      <c r="L186">
        <v>692</v>
      </c>
      <c r="M186">
        <f t="shared" si="2"/>
        <v>1384</v>
      </c>
      <c r="N186" s="1" t="s">
        <v>26</v>
      </c>
      <c r="O186">
        <v>2018</v>
      </c>
      <c r="P186" s="1" t="s">
        <v>95</v>
      </c>
      <c r="Q186" s="1" t="s">
        <v>67</v>
      </c>
      <c r="R186" s="1" t="s">
        <v>68</v>
      </c>
    </row>
    <row r="187" spans="1:18" x14ac:dyDescent="0.25">
      <c r="A187" s="1" t="s">
        <v>18</v>
      </c>
      <c r="B187" s="1" t="s">
        <v>120</v>
      </c>
      <c r="C187" s="1" t="s">
        <v>559</v>
      </c>
      <c r="D187" s="1" t="s">
        <v>21</v>
      </c>
      <c r="E187">
        <v>50.1556</v>
      </c>
      <c r="F187">
        <v>23.123000000000001</v>
      </c>
      <c r="G187" s="1" t="s">
        <v>31</v>
      </c>
      <c r="H187" s="1" t="s">
        <v>38</v>
      </c>
      <c r="I187" s="1" t="s">
        <v>143</v>
      </c>
      <c r="J187" s="1" t="s">
        <v>88</v>
      </c>
      <c r="K187">
        <v>6</v>
      </c>
      <c r="L187">
        <v>768</v>
      </c>
      <c r="M187">
        <f t="shared" si="2"/>
        <v>4608</v>
      </c>
      <c r="N187" s="1" t="s">
        <v>26</v>
      </c>
      <c r="O187">
        <v>2018</v>
      </c>
      <c r="P187" s="1" t="s">
        <v>55</v>
      </c>
      <c r="Q187" s="1" t="s">
        <v>56</v>
      </c>
      <c r="R187" s="1" t="s">
        <v>57</v>
      </c>
    </row>
    <row r="188" spans="1:18" x14ac:dyDescent="0.25">
      <c r="A188" s="1" t="s">
        <v>18</v>
      </c>
      <c r="B188" s="1" t="s">
        <v>236</v>
      </c>
      <c r="C188" s="1" t="s">
        <v>237</v>
      </c>
      <c r="D188" s="1" t="s">
        <v>21</v>
      </c>
      <c r="E188">
        <v>50.297600000000003</v>
      </c>
      <c r="F188">
        <v>18.676600000000001</v>
      </c>
      <c r="G188" s="1" t="s">
        <v>31</v>
      </c>
      <c r="H188" s="1" t="s">
        <v>32</v>
      </c>
      <c r="I188" s="1" t="s">
        <v>360</v>
      </c>
      <c r="J188" s="1" t="s">
        <v>25</v>
      </c>
      <c r="K188">
        <v>100</v>
      </c>
      <c r="L188">
        <v>180</v>
      </c>
      <c r="M188">
        <f t="shared" si="2"/>
        <v>18000</v>
      </c>
      <c r="N188" s="1" t="s">
        <v>26</v>
      </c>
      <c r="O188">
        <v>2018</v>
      </c>
      <c r="P188" s="1" t="s">
        <v>60</v>
      </c>
      <c r="Q188" s="1" t="s">
        <v>28</v>
      </c>
      <c r="R188" s="1" t="s">
        <v>29</v>
      </c>
    </row>
    <row r="189" spans="1:18" x14ac:dyDescent="0.25">
      <c r="A189" s="1" t="s">
        <v>18</v>
      </c>
      <c r="B189" s="1" t="s">
        <v>238</v>
      </c>
      <c r="C189" s="1" t="s">
        <v>239</v>
      </c>
      <c r="D189" s="1" t="s">
        <v>21</v>
      </c>
      <c r="E189">
        <v>49.75</v>
      </c>
      <c r="F189">
        <v>18.633299999999998</v>
      </c>
      <c r="G189" s="1" t="s">
        <v>31</v>
      </c>
      <c r="H189" s="1" t="s">
        <v>32</v>
      </c>
      <c r="I189" s="1" t="s">
        <v>361</v>
      </c>
      <c r="J189" s="1" t="s">
        <v>80</v>
      </c>
      <c r="K189">
        <v>10</v>
      </c>
      <c r="L189">
        <v>742</v>
      </c>
      <c r="M189">
        <f t="shared" si="2"/>
        <v>7420</v>
      </c>
      <c r="N189" s="1" t="s">
        <v>26</v>
      </c>
      <c r="O189">
        <v>2018</v>
      </c>
      <c r="P189" s="1" t="s">
        <v>35</v>
      </c>
      <c r="Q189" s="1" t="s">
        <v>28</v>
      </c>
      <c r="R189" s="1" t="s">
        <v>29</v>
      </c>
    </row>
    <row r="190" spans="1:18" x14ac:dyDescent="0.25">
      <c r="A190" s="1" t="s">
        <v>18</v>
      </c>
      <c r="B190" s="1" t="s">
        <v>362</v>
      </c>
      <c r="C190" s="1" t="s">
        <v>615</v>
      </c>
      <c r="D190" s="1" t="s">
        <v>21</v>
      </c>
      <c r="E190">
        <v>52.588299999999997</v>
      </c>
      <c r="F190">
        <v>14.666700000000001</v>
      </c>
      <c r="G190" s="1" t="s">
        <v>22</v>
      </c>
      <c r="H190" s="1" t="s">
        <v>74</v>
      </c>
      <c r="I190" s="1" t="s">
        <v>79</v>
      </c>
      <c r="J190" s="1" t="s">
        <v>80</v>
      </c>
      <c r="K190">
        <v>1</v>
      </c>
      <c r="L190">
        <v>249</v>
      </c>
      <c r="M190">
        <f t="shared" si="2"/>
        <v>249</v>
      </c>
      <c r="N190" s="1" t="s">
        <v>26</v>
      </c>
      <c r="O190">
        <v>2018</v>
      </c>
      <c r="P190" s="1" t="s">
        <v>106</v>
      </c>
      <c r="Q190" s="1" t="s">
        <v>67</v>
      </c>
      <c r="R190" s="1" t="s">
        <v>68</v>
      </c>
    </row>
    <row r="191" spans="1:18" x14ac:dyDescent="0.25">
      <c r="A191" s="1" t="s">
        <v>18</v>
      </c>
      <c r="B191" s="1" t="s">
        <v>173</v>
      </c>
      <c r="C191" s="1" t="s">
        <v>576</v>
      </c>
      <c r="D191" s="1" t="s">
        <v>21</v>
      </c>
      <c r="E191">
        <v>53.916699999999999</v>
      </c>
      <c r="F191">
        <v>14.25</v>
      </c>
      <c r="G191" s="1" t="s">
        <v>22</v>
      </c>
      <c r="H191" s="1" t="s">
        <v>74</v>
      </c>
      <c r="I191" s="1" t="s">
        <v>179</v>
      </c>
      <c r="J191" s="1" t="s">
        <v>34</v>
      </c>
      <c r="K191">
        <v>250</v>
      </c>
      <c r="L191">
        <v>424</v>
      </c>
      <c r="M191">
        <f t="shared" si="2"/>
        <v>106000</v>
      </c>
      <c r="N191" s="1" t="s">
        <v>26</v>
      </c>
      <c r="O191">
        <v>2018</v>
      </c>
      <c r="P191" s="1" t="s">
        <v>71</v>
      </c>
      <c r="Q191" s="1" t="s">
        <v>41</v>
      </c>
      <c r="R191" s="1" t="s">
        <v>42</v>
      </c>
    </row>
    <row r="192" spans="1:18" x14ac:dyDescent="0.25">
      <c r="A192" s="1" t="s">
        <v>18</v>
      </c>
      <c r="B192" s="1" t="s">
        <v>138</v>
      </c>
      <c r="C192" s="1" t="s">
        <v>563</v>
      </c>
      <c r="D192" s="1" t="s">
        <v>21</v>
      </c>
      <c r="E192">
        <v>53.2667</v>
      </c>
      <c r="F192">
        <v>16.466699999999999</v>
      </c>
      <c r="G192" s="1" t="s">
        <v>22</v>
      </c>
      <c r="H192" s="1" t="s">
        <v>74</v>
      </c>
      <c r="I192" s="1" t="s">
        <v>265</v>
      </c>
      <c r="J192" s="1" t="s">
        <v>80</v>
      </c>
      <c r="K192">
        <v>10</v>
      </c>
      <c r="L192">
        <v>390</v>
      </c>
      <c r="M192">
        <f t="shared" si="2"/>
        <v>3900</v>
      </c>
      <c r="N192" s="1" t="s">
        <v>26</v>
      </c>
      <c r="O192">
        <v>2018</v>
      </c>
      <c r="P192" s="1" t="s">
        <v>103</v>
      </c>
      <c r="Q192" s="1" t="s">
        <v>56</v>
      </c>
      <c r="R192" s="1" t="s">
        <v>57</v>
      </c>
    </row>
    <row r="193" spans="1:18" x14ac:dyDescent="0.25">
      <c r="A193" s="1" t="s">
        <v>18</v>
      </c>
      <c r="B193" s="1" t="s">
        <v>363</v>
      </c>
      <c r="C193" s="1" t="s">
        <v>364</v>
      </c>
      <c r="D193" s="1" t="s">
        <v>21</v>
      </c>
      <c r="E193">
        <v>50</v>
      </c>
      <c r="F193">
        <v>19.149999999999999</v>
      </c>
      <c r="G193" s="1" t="s">
        <v>22</v>
      </c>
      <c r="H193" s="1" t="s">
        <v>23</v>
      </c>
      <c r="I193" s="1" t="s">
        <v>315</v>
      </c>
      <c r="J193" s="1" t="s">
        <v>25</v>
      </c>
      <c r="K193">
        <v>5</v>
      </c>
      <c r="L193">
        <v>334</v>
      </c>
      <c r="M193">
        <f t="shared" si="2"/>
        <v>1670</v>
      </c>
      <c r="N193" s="1" t="s">
        <v>26</v>
      </c>
      <c r="O193">
        <v>2018</v>
      </c>
      <c r="P193" s="1" t="s">
        <v>40</v>
      </c>
      <c r="Q193" s="1" t="s">
        <v>41</v>
      </c>
      <c r="R193" s="1" t="s">
        <v>42</v>
      </c>
    </row>
    <row r="194" spans="1:18" x14ac:dyDescent="0.25">
      <c r="A194" s="1" t="s">
        <v>18</v>
      </c>
      <c r="B194" s="1" t="s">
        <v>365</v>
      </c>
      <c r="C194" s="1" t="s">
        <v>366</v>
      </c>
      <c r="D194" s="1" t="s">
        <v>21</v>
      </c>
      <c r="E194">
        <v>52.533299999999997</v>
      </c>
      <c r="F194">
        <v>17.600000000000001</v>
      </c>
      <c r="G194" s="1" t="s">
        <v>31</v>
      </c>
      <c r="H194" s="1" t="s">
        <v>32</v>
      </c>
      <c r="I194" s="1" t="s">
        <v>367</v>
      </c>
      <c r="J194" s="1" t="s">
        <v>80</v>
      </c>
      <c r="K194">
        <v>5</v>
      </c>
      <c r="L194">
        <v>416</v>
      </c>
      <c r="M194">
        <f t="shared" si="2"/>
        <v>2080</v>
      </c>
      <c r="N194" s="1" t="s">
        <v>26</v>
      </c>
      <c r="O194">
        <v>2018</v>
      </c>
      <c r="P194" s="1" t="s">
        <v>35</v>
      </c>
      <c r="Q194" s="1" t="s">
        <v>28</v>
      </c>
      <c r="R194" s="1" t="s">
        <v>29</v>
      </c>
    </row>
    <row r="195" spans="1:18" x14ac:dyDescent="0.25">
      <c r="A195" s="1" t="s">
        <v>18</v>
      </c>
      <c r="B195" s="1" t="s">
        <v>151</v>
      </c>
      <c r="C195" s="1" t="s">
        <v>152</v>
      </c>
      <c r="D195" s="1" t="s">
        <v>21</v>
      </c>
      <c r="E195">
        <v>52.883299999999998</v>
      </c>
      <c r="F195">
        <v>18.783300000000001</v>
      </c>
      <c r="G195" s="1" t="s">
        <v>31</v>
      </c>
      <c r="H195" s="1" t="s">
        <v>32</v>
      </c>
      <c r="I195" s="1" t="s">
        <v>309</v>
      </c>
      <c r="J195" s="1" t="s">
        <v>88</v>
      </c>
      <c r="K195">
        <v>100</v>
      </c>
      <c r="L195">
        <v>141</v>
      </c>
      <c r="M195">
        <f t="shared" ref="M195:M258" si="3">SUM(K195*L195)</f>
        <v>14100</v>
      </c>
      <c r="N195" s="1" t="s">
        <v>26</v>
      </c>
      <c r="O195">
        <v>2018</v>
      </c>
      <c r="P195" s="1" t="s">
        <v>55</v>
      </c>
      <c r="Q195" s="1" t="s">
        <v>56</v>
      </c>
      <c r="R195" s="1" t="s">
        <v>57</v>
      </c>
    </row>
    <row r="196" spans="1:18" x14ac:dyDescent="0.25">
      <c r="A196" s="1" t="s">
        <v>18</v>
      </c>
      <c r="B196" s="1" t="s">
        <v>69</v>
      </c>
      <c r="C196" s="1" t="s">
        <v>545</v>
      </c>
      <c r="D196" s="1" t="s">
        <v>21</v>
      </c>
      <c r="E196">
        <v>50.061399999999999</v>
      </c>
      <c r="F196">
        <v>19.937200000000001</v>
      </c>
      <c r="G196" s="1" t="s">
        <v>22</v>
      </c>
      <c r="H196" s="1" t="s">
        <v>23</v>
      </c>
      <c r="I196" s="1" t="s">
        <v>75</v>
      </c>
      <c r="J196" s="1" t="s">
        <v>25</v>
      </c>
      <c r="K196">
        <v>2</v>
      </c>
      <c r="L196">
        <v>762</v>
      </c>
      <c r="M196">
        <f t="shared" si="3"/>
        <v>1524</v>
      </c>
      <c r="N196" s="1" t="s">
        <v>26</v>
      </c>
      <c r="O196">
        <v>2018</v>
      </c>
      <c r="P196" s="1" t="s">
        <v>106</v>
      </c>
      <c r="Q196" s="1" t="s">
        <v>67</v>
      </c>
      <c r="R196" s="1" t="s">
        <v>68</v>
      </c>
    </row>
    <row r="197" spans="1:18" x14ac:dyDescent="0.25">
      <c r="A197" s="1" t="s">
        <v>18</v>
      </c>
      <c r="B197" s="1" t="s">
        <v>166</v>
      </c>
      <c r="C197" s="1" t="s">
        <v>573</v>
      </c>
      <c r="D197" s="1" t="s">
        <v>21</v>
      </c>
      <c r="E197">
        <v>52.058300000000003</v>
      </c>
      <c r="F197">
        <v>19.2</v>
      </c>
      <c r="G197" s="1" t="s">
        <v>31</v>
      </c>
      <c r="H197" s="1" t="s">
        <v>38</v>
      </c>
      <c r="I197" s="1" t="s">
        <v>185</v>
      </c>
      <c r="J197" s="1" t="s">
        <v>45</v>
      </c>
      <c r="K197">
        <v>17</v>
      </c>
      <c r="L197">
        <v>722</v>
      </c>
      <c r="M197">
        <f t="shared" si="3"/>
        <v>12274</v>
      </c>
      <c r="N197" s="1" t="s">
        <v>26</v>
      </c>
      <c r="O197">
        <v>2018</v>
      </c>
      <c r="P197" s="1" t="s">
        <v>40</v>
      </c>
      <c r="Q197" s="1" t="s">
        <v>41</v>
      </c>
      <c r="R197" s="1" t="s">
        <v>42</v>
      </c>
    </row>
    <row r="198" spans="1:18" x14ac:dyDescent="0.25">
      <c r="A198" s="1" t="s">
        <v>18</v>
      </c>
      <c r="B198" s="1" t="s">
        <v>308</v>
      </c>
      <c r="C198" s="1" t="s">
        <v>608</v>
      </c>
      <c r="D198" s="1" t="s">
        <v>21</v>
      </c>
      <c r="E198">
        <v>49.666699999999999</v>
      </c>
      <c r="F198">
        <v>18.866700000000002</v>
      </c>
      <c r="G198" s="1" t="s">
        <v>31</v>
      </c>
      <c r="H198" s="1" t="s">
        <v>38</v>
      </c>
      <c r="I198" s="1" t="s">
        <v>368</v>
      </c>
      <c r="J198" s="1" t="s">
        <v>117</v>
      </c>
      <c r="K198">
        <v>2</v>
      </c>
      <c r="L198">
        <v>377</v>
      </c>
      <c r="M198">
        <f t="shared" si="3"/>
        <v>754</v>
      </c>
      <c r="N198" s="1" t="s">
        <v>26</v>
      </c>
      <c r="O198">
        <v>2018</v>
      </c>
      <c r="P198" s="1" t="s">
        <v>35</v>
      </c>
      <c r="Q198" s="1" t="s">
        <v>28</v>
      </c>
      <c r="R198" s="1" t="s">
        <v>29</v>
      </c>
    </row>
    <row r="199" spans="1:18" x14ac:dyDescent="0.25">
      <c r="A199" s="1" t="s">
        <v>18</v>
      </c>
      <c r="B199" s="1" t="s">
        <v>189</v>
      </c>
      <c r="C199" s="1" t="s">
        <v>190</v>
      </c>
      <c r="D199" s="1" t="s">
        <v>21</v>
      </c>
      <c r="E199">
        <v>54.441899999999997</v>
      </c>
      <c r="F199">
        <v>18.547799999999999</v>
      </c>
      <c r="G199" s="1" t="s">
        <v>22</v>
      </c>
      <c r="H199" s="1" t="s">
        <v>23</v>
      </c>
      <c r="I199" s="1" t="s">
        <v>148</v>
      </c>
      <c r="J199" s="1" t="s">
        <v>34</v>
      </c>
      <c r="K199">
        <v>1</v>
      </c>
      <c r="L199">
        <v>458</v>
      </c>
      <c r="M199">
        <f t="shared" si="3"/>
        <v>458</v>
      </c>
      <c r="N199" s="1" t="s">
        <v>26</v>
      </c>
      <c r="O199">
        <v>2018</v>
      </c>
      <c r="P199" s="1" t="s">
        <v>81</v>
      </c>
      <c r="Q199" s="1" t="s">
        <v>41</v>
      </c>
      <c r="R199" s="1" t="s">
        <v>42</v>
      </c>
    </row>
    <row r="200" spans="1:18" x14ac:dyDescent="0.25">
      <c r="A200" s="1" t="s">
        <v>18</v>
      </c>
      <c r="B200" s="1" t="s">
        <v>369</v>
      </c>
      <c r="C200" s="1" t="s">
        <v>616</v>
      </c>
      <c r="D200" s="1" t="s">
        <v>21</v>
      </c>
      <c r="E200">
        <v>49.716700000000003</v>
      </c>
      <c r="F200">
        <v>18.816700000000001</v>
      </c>
      <c r="G200" s="1" t="s">
        <v>22</v>
      </c>
      <c r="H200" s="1" t="s">
        <v>74</v>
      </c>
      <c r="I200" s="1" t="s">
        <v>354</v>
      </c>
      <c r="J200" s="1" t="s">
        <v>88</v>
      </c>
      <c r="K200">
        <v>1</v>
      </c>
      <c r="L200">
        <v>420</v>
      </c>
      <c r="M200">
        <f t="shared" si="3"/>
        <v>420</v>
      </c>
      <c r="N200" s="1" t="s">
        <v>26</v>
      </c>
      <c r="O200">
        <v>2018</v>
      </c>
      <c r="P200" s="1" t="s">
        <v>106</v>
      </c>
      <c r="Q200" s="1" t="s">
        <v>67</v>
      </c>
      <c r="R200" s="1" t="s">
        <v>68</v>
      </c>
    </row>
    <row r="201" spans="1:18" x14ac:dyDescent="0.25">
      <c r="A201" s="1" t="s">
        <v>18</v>
      </c>
      <c r="B201" s="1" t="s">
        <v>151</v>
      </c>
      <c r="C201" s="1" t="s">
        <v>152</v>
      </c>
      <c r="D201" s="1" t="s">
        <v>21</v>
      </c>
      <c r="E201">
        <v>52.883299999999998</v>
      </c>
      <c r="F201">
        <v>18.783300000000001</v>
      </c>
      <c r="G201" s="1" t="s">
        <v>31</v>
      </c>
      <c r="H201" s="1" t="s">
        <v>32</v>
      </c>
      <c r="I201" s="1" t="s">
        <v>370</v>
      </c>
      <c r="J201" s="1" t="s">
        <v>80</v>
      </c>
      <c r="K201">
        <v>6</v>
      </c>
      <c r="L201">
        <v>785</v>
      </c>
      <c r="M201">
        <f t="shared" si="3"/>
        <v>4710</v>
      </c>
      <c r="N201" s="1" t="s">
        <v>26</v>
      </c>
      <c r="O201">
        <v>2018</v>
      </c>
      <c r="P201" s="1" t="s">
        <v>27</v>
      </c>
      <c r="Q201" s="1" t="s">
        <v>28</v>
      </c>
      <c r="R201" s="1" t="s">
        <v>29</v>
      </c>
    </row>
    <row r="202" spans="1:18" x14ac:dyDescent="0.25">
      <c r="A202" s="1" t="s">
        <v>18</v>
      </c>
      <c r="B202" s="1" t="s">
        <v>371</v>
      </c>
      <c r="C202" s="1" t="s">
        <v>617</v>
      </c>
      <c r="D202" s="1" t="s">
        <v>21</v>
      </c>
      <c r="E202">
        <v>52.339500000000001</v>
      </c>
      <c r="F202">
        <v>21.195900000000002</v>
      </c>
      <c r="G202" s="1" t="s">
        <v>22</v>
      </c>
      <c r="H202" s="1" t="s">
        <v>74</v>
      </c>
      <c r="I202" s="1" t="s">
        <v>372</v>
      </c>
      <c r="J202" s="1" t="s">
        <v>34</v>
      </c>
      <c r="K202">
        <v>3</v>
      </c>
      <c r="L202">
        <v>780</v>
      </c>
      <c r="M202">
        <f t="shared" si="3"/>
        <v>2340</v>
      </c>
      <c r="N202" s="1" t="s">
        <v>26</v>
      </c>
      <c r="O202">
        <v>2018</v>
      </c>
      <c r="P202" s="1" t="s">
        <v>81</v>
      </c>
      <c r="Q202" s="1" t="s">
        <v>41</v>
      </c>
      <c r="R202" s="1" t="s">
        <v>42</v>
      </c>
    </row>
    <row r="203" spans="1:18" x14ac:dyDescent="0.25">
      <c r="A203" s="1" t="s">
        <v>18</v>
      </c>
      <c r="B203" s="1" t="s">
        <v>107</v>
      </c>
      <c r="C203" s="1" t="s">
        <v>108</v>
      </c>
      <c r="D203" s="1" t="s">
        <v>21</v>
      </c>
      <c r="E203">
        <v>53.833300000000001</v>
      </c>
      <c r="F203">
        <v>18.833300000000001</v>
      </c>
      <c r="G203" s="1" t="s">
        <v>31</v>
      </c>
      <c r="H203" s="1" t="s">
        <v>32</v>
      </c>
      <c r="I203" s="1" t="s">
        <v>349</v>
      </c>
      <c r="J203" s="1" t="s">
        <v>80</v>
      </c>
      <c r="K203">
        <v>10</v>
      </c>
      <c r="L203">
        <v>343</v>
      </c>
      <c r="M203">
        <f t="shared" si="3"/>
        <v>3430</v>
      </c>
      <c r="N203" s="1" t="s">
        <v>54</v>
      </c>
      <c r="O203">
        <v>2018</v>
      </c>
      <c r="P203" s="1" t="s">
        <v>35</v>
      </c>
      <c r="Q203" s="1" t="s">
        <v>28</v>
      </c>
      <c r="R203" s="1" t="s">
        <v>29</v>
      </c>
    </row>
    <row r="204" spans="1:18" x14ac:dyDescent="0.25">
      <c r="A204" s="1" t="s">
        <v>18</v>
      </c>
      <c r="B204" s="1" t="s">
        <v>263</v>
      </c>
      <c r="C204" s="1" t="s">
        <v>264</v>
      </c>
      <c r="D204" s="1" t="s">
        <v>21</v>
      </c>
      <c r="E204">
        <v>52.2333</v>
      </c>
      <c r="F204">
        <v>19.366700000000002</v>
      </c>
      <c r="G204" s="1" t="s">
        <v>31</v>
      </c>
      <c r="H204" s="1" t="s">
        <v>32</v>
      </c>
      <c r="I204" s="1" t="s">
        <v>373</v>
      </c>
      <c r="J204" s="1" t="s">
        <v>25</v>
      </c>
      <c r="K204">
        <v>3</v>
      </c>
      <c r="L204">
        <v>172</v>
      </c>
      <c r="M204">
        <f t="shared" si="3"/>
        <v>516</v>
      </c>
      <c r="N204" s="1" t="s">
        <v>26</v>
      </c>
      <c r="O204">
        <v>2018</v>
      </c>
      <c r="P204" s="1" t="s">
        <v>103</v>
      </c>
      <c r="Q204" s="1" t="s">
        <v>56</v>
      </c>
      <c r="R204" s="1" t="s">
        <v>57</v>
      </c>
    </row>
    <row r="205" spans="1:18" x14ac:dyDescent="0.25">
      <c r="A205" s="1" t="s">
        <v>18</v>
      </c>
      <c r="B205" s="1" t="s">
        <v>374</v>
      </c>
      <c r="C205" s="1" t="s">
        <v>375</v>
      </c>
      <c r="D205" s="1" t="s">
        <v>21</v>
      </c>
      <c r="E205">
        <v>52.093800000000002</v>
      </c>
      <c r="F205">
        <v>21.117599999999999</v>
      </c>
      <c r="G205" s="1" t="s">
        <v>22</v>
      </c>
      <c r="H205" s="1" t="s">
        <v>23</v>
      </c>
      <c r="I205" s="1" t="s">
        <v>121</v>
      </c>
      <c r="J205" s="1" t="s">
        <v>117</v>
      </c>
      <c r="K205">
        <v>2</v>
      </c>
      <c r="L205">
        <v>511</v>
      </c>
      <c r="M205">
        <f t="shared" si="3"/>
        <v>1022</v>
      </c>
      <c r="N205" s="1" t="s">
        <v>26</v>
      </c>
      <c r="O205">
        <v>2018</v>
      </c>
      <c r="P205" s="1" t="s">
        <v>40</v>
      </c>
      <c r="Q205" s="1" t="s">
        <v>41</v>
      </c>
      <c r="R205" s="1" t="s">
        <v>42</v>
      </c>
    </row>
    <row r="206" spans="1:18" x14ac:dyDescent="0.25">
      <c r="A206" s="1" t="s">
        <v>18</v>
      </c>
      <c r="B206" s="1" t="s">
        <v>369</v>
      </c>
      <c r="C206" s="1" t="s">
        <v>616</v>
      </c>
      <c r="D206" s="1" t="s">
        <v>21</v>
      </c>
      <c r="E206">
        <v>49.716700000000003</v>
      </c>
      <c r="F206">
        <v>18.816700000000001</v>
      </c>
      <c r="G206" s="1" t="s">
        <v>22</v>
      </c>
      <c r="H206" s="1" t="s">
        <v>74</v>
      </c>
      <c r="I206" s="1" t="s">
        <v>376</v>
      </c>
      <c r="J206" s="1" t="s">
        <v>34</v>
      </c>
      <c r="K206">
        <v>20</v>
      </c>
      <c r="L206">
        <v>458</v>
      </c>
      <c r="M206">
        <f t="shared" si="3"/>
        <v>9160</v>
      </c>
      <c r="N206" s="1" t="s">
        <v>26</v>
      </c>
      <c r="O206">
        <v>2018</v>
      </c>
      <c r="P206" s="1" t="s">
        <v>27</v>
      </c>
      <c r="Q206" s="1" t="s">
        <v>28</v>
      </c>
      <c r="R206" s="1" t="s">
        <v>29</v>
      </c>
    </row>
    <row r="207" spans="1:18" x14ac:dyDescent="0.25">
      <c r="A207" s="1" t="s">
        <v>18</v>
      </c>
      <c r="B207" s="1" t="s">
        <v>243</v>
      </c>
      <c r="C207" s="1" t="s">
        <v>591</v>
      </c>
      <c r="D207" s="1" t="s">
        <v>21</v>
      </c>
      <c r="E207">
        <v>53.349200000000003</v>
      </c>
      <c r="F207">
        <v>18.426100000000002</v>
      </c>
      <c r="G207" s="1" t="s">
        <v>22</v>
      </c>
      <c r="H207" s="1" t="s">
        <v>23</v>
      </c>
      <c r="I207" s="1" t="s">
        <v>377</v>
      </c>
      <c r="J207" s="1" t="s">
        <v>88</v>
      </c>
      <c r="K207">
        <v>5</v>
      </c>
      <c r="L207">
        <v>438</v>
      </c>
      <c r="M207">
        <f t="shared" si="3"/>
        <v>2190</v>
      </c>
      <c r="N207" s="1" t="s">
        <v>26</v>
      </c>
      <c r="O207">
        <v>2018</v>
      </c>
      <c r="P207" s="1" t="s">
        <v>27</v>
      </c>
      <c r="Q207" s="1" t="s">
        <v>28</v>
      </c>
      <c r="R207" s="1" t="s">
        <v>29</v>
      </c>
    </row>
    <row r="208" spans="1:18" x14ac:dyDescent="0.25">
      <c r="A208" s="1" t="s">
        <v>18</v>
      </c>
      <c r="B208" s="1" t="s">
        <v>378</v>
      </c>
      <c r="C208" s="1" t="s">
        <v>618</v>
      </c>
      <c r="D208" s="1" t="s">
        <v>21</v>
      </c>
      <c r="E208">
        <v>50.898600000000002</v>
      </c>
      <c r="F208">
        <v>16.744399999999999</v>
      </c>
      <c r="G208" s="1" t="s">
        <v>22</v>
      </c>
      <c r="H208" s="1" t="s">
        <v>23</v>
      </c>
      <c r="I208" s="1" t="s">
        <v>379</v>
      </c>
      <c r="J208" s="1" t="s">
        <v>117</v>
      </c>
      <c r="K208">
        <v>10</v>
      </c>
      <c r="L208">
        <v>24</v>
      </c>
      <c r="M208">
        <f t="shared" si="3"/>
        <v>240</v>
      </c>
      <c r="N208" s="1" t="s">
        <v>26</v>
      </c>
      <c r="O208">
        <v>2018</v>
      </c>
      <c r="P208" s="1" t="s">
        <v>55</v>
      </c>
      <c r="Q208" s="1" t="s">
        <v>56</v>
      </c>
      <c r="R208" s="1" t="s">
        <v>57</v>
      </c>
    </row>
    <row r="209" spans="1:18" x14ac:dyDescent="0.25">
      <c r="A209" s="1" t="s">
        <v>18</v>
      </c>
      <c r="B209" s="1" t="s">
        <v>380</v>
      </c>
      <c r="C209" s="1" t="s">
        <v>381</v>
      </c>
      <c r="D209" s="1" t="s">
        <v>21</v>
      </c>
      <c r="E209">
        <v>51.273000000000003</v>
      </c>
      <c r="F209">
        <v>16.708100000000002</v>
      </c>
      <c r="G209" s="1" t="s">
        <v>22</v>
      </c>
      <c r="H209" s="1" t="s">
        <v>23</v>
      </c>
      <c r="I209" s="1" t="s">
        <v>347</v>
      </c>
      <c r="J209" s="1" t="s">
        <v>117</v>
      </c>
      <c r="K209">
        <v>2</v>
      </c>
      <c r="L209">
        <v>73</v>
      </c>
      <c r="M209">
        <f t="shared" si="3"/>
        <v>146</v>
      </c>
      <c r="N209" s="1" t="s">
        <v>26</v>
      </c>
      <c r="O209">
        <v>2018</v>
      </c>
      <c r="P209" s="1" t="s">
        <v>35</v>
      </c>
      <c r="Q209" s="1" t="s">
        <v>28</v>
      </c>
      <c r="R209" s="1" t="s">
        <v>29</v>
      </c>
    </row>
    <row r="210" spans="1:18" x14ac:dyDescent="0.25">
      <c r="A210" s="1" t="s">
        <v>18</v>
      </c>
      <c r="B210" s="1" t="s">
        <v>259</v>
      </c>
      <c r="C210" s="1" t="s">
        <v>596</v>
      </c>
      <c r="D210" s="1" t="s">
        <v>21</v>
      </c>
      <c r="E210">
        <v>50.016199999999998</v>
      </c>
      <c r="F210">
        <v>22.677800000000001</v>
      </c>
      <c r="G210" s="1" t="s">
        <v>22</v>
      </c>
      <c r="H210" s="1" t="s">
        <v>74</v>
      </c>
      <c r="I210" s="1" t="s">
        <v>382</v>
      </c>
      <c r="J210" s="1" t="s">
        <v>25</v>
      </c>
      <c r="K210">
        <v>4</v>
      </c>
      <c r="L210">
        <v>304</v>
      </c>
      <c r="M210">
        <f t="shared" si="3"/>
        <v>1216</v>
      </c>
      <c r="N210" s="1" t="s">
        <v>26</v>
      </c>
      <c r="O210">
        <v>2018</v>
      </c>
      <c r="P210" s="1" t="s">
        <v>40</v>
      </c>
      <c r="Q210" s="1" t="s">
        <v>41</v>
      </c>
      <c r="R210" s="1" t="s">
        <v>42</v>
      </c>
    </row>
    <row r="211" spans="1:18" x14ac:dyDescent="0.25">
      <c r="A211" s="1" t="s">
        <v>18</v>
      </c>
      <c r="B211" s="1" t="s">
        <v>231</v>
      </c>
      <c r="C211" s="1" t="s">
        <v>590</v>
      </c>
      <c r="D211" s="1" t="s">
        <v>21</v>
      </c>
      <c r="E211">
        <v>52.253100000000003</v>
      </c>
      <c r="F211">
        <v>15.9178</v>
      </c>
      <c r="G211" s="1" t="s">
        <v>22</v>
      </c>
      <c r="H211" s="1" t="s">
        <v>23</v>
      </c>
      <c r="I211" s="1" t="s">
        <v>174</v>
      </c>
      <c r="J211" s="1" t="s">
        <v>45</v>
      </c>
      <c r="K211">
        <v>4</v>
      </c>
      <c r="L211">
        <v>778</v>
      </c>
      <c r="M211">
        <f t="shared" si="3"/>
        <v>3112</v>
      </c>
      <c r="N211" s="1" t="s">
        <v>26</v>
      </c>
      <c r="O211">
        <v>2018</v>
      </c>
      <c r="P211" s="1" t="s">
        <v>77</v>
      </c>
      <c r="Q211" s="1" t="s">
        <v>56</v>
      </c>
      <c r="R211" s="1" t="s">
        <v>57</v>
      </c>
    </row>
    <row r="212" spans="1:18" x14ac:dyDescent="0.25">
      <c r="A212" s="1" t="s">
        <v>18</v>
      </c>
      <c r="B212" s="1" t="s">
        <v>383</v>
      </c>
      <c r="C212" s="1" t="s">
        <v>384</v>
      </c>
      <c r="D212" s="1" t="s">
        <v>21</v>
      </c>
      <c r="E212">
        <v>54.518900000000002</v>
      </c>
      <c r="F212">
        <v>18.5319</v>
      </c>
      <c r="G212" s="1" t="s">
        <v>31</v>
      </c>
      <c r="H212" s="1" t="s">
        <v>32</v>
      </c>
      <c r="I212" s="1" t="s">
        <v>200</v>
      </c>
      <c r="J212" s="1" t="s">
        <v>45</v>
      </c>
      <c r="K212">
        <v>1</v>
      </c>
      <c r="L212">
        <v>179</v>
      </c>
      <c r="M212">
        <f t="shared" si="3"/>
        <v>179</v>
      </c>
      <c r="N212" s="1" t="s">
        <v>26</v>
      </c>
      <c r="O212">
        <v>2018</v>
      </c>
      <c r="P212" s="1" t="s">
        <v>35</v>
      </c>
      <c r="Q212" s="1" t="s">
        <v>28</v>
      </c>
      <c r="R212" s="1" t="s">
        <v>29</v>
      </c>
    </row>
    <row r="213" spans="1:18" x14ac:dyDescent="0.25">
      <c r="A213" s="1" t="s">
        <v>18</v>
      </c>
      <c r="B213" s="1" t="s">
        <v>287</v>
      </c>
      <c r="C213" s="1" t="s">
        <v>601</v>
      </c>
      <c r="D213" s="1" t="s">
        <v>21</v>
      </c>
      <c r="E213">
        <v>52.65</v>
      </c>
      <c r="F213">
        <v>19.05</v>
      </c>
      <c r="G213" s="1" t="s">
        <v>22</v>
      </c>
      <c r="H213" s="1" t="s">
        <v>23</v>
      </c>
      <c r="I213" s="1" t="s">
        <v>59</v>
      </c>
      <c r="J213" s="1" t="s">
        <v>45</v>
      </c>
      <c r="K213">
        <v>1</v>
      </c>
      <c r="L213">
        <v>536</v>
      </c>
      <c r="M213">
        <f t="shared" si="3"/>
        <v>536</v>
      </c>
      <c r="N213" s="1" t="s">
        <v>26</v>
      </c>
      <c r="O213">
        <v>2018</v>
      </c>
      <c r="P213" s="1" t="s">
        <v>55</v>
      </c>
      <c r="Q213" s="1" t="s">
        <v>56</v>
      </c>
      <c r="R213" s="1" t="s">
        <v>57</v>
      </c>
    </row>
    <row r="214" spans="1:18" x14ac:dyDescent="0.25">
      <c r="A214" s="1" t="s">
        <v>18</v>
      </c>
      <c r="B214" s="1" t="s">
        <v>233</v>
      </c>
      <c r="C214" s="1" t="s">
        <v>234</v>
      </c>
      <c r="D214" s="1" t="s">
        <v>21</v>
      </c>
      <c r="E214">
        <v>54.383299999999998</v>
      </c>
      <c r="F214">
        <v>19.833300000000001</v>
      </c>
      <c r="G214" s="1" t="s">
        <v>31</v>
      </c>
      <c r="H214" s="1" t="s">
        <v>32</v>
      </c>
      <c r="I214" s="1" t="s">
        <v>174</v>
      </c>
      <c r="J214" s="1" t="s">
        <v>45</v>
      </c>
      <c r="K214">
        <v>5</v>
      </c>
      <c r="L214">
        <v>778</v>
      </c>
      <c r="M214">
        <f t="shared" si="3"/>
        <v>3890</v>
      </c>
      <c r="N214" s="1" t="s">
        <v>26</v>
      </c>
      <c r="O214">
        <v>2018</v>
      </c>
      <c r="P214" s="1" t="s">
        <v>103</v>
      </c>
      <c r="Q214" s="1" t="s">
        <v>56</v>
      </c>
      <c r="R214" s="1" t="s">
        <v>57</v>
      </c>
    </row>
    <row r="215" spans="1:18" x14ac:dyDescent="0.25">
      <c r="A215" s="1" t="s">
        <v>18</v>
      </c>
      <c r="B215" s="1" t="s">
        <v>385</v>
      </c>
      <c r="C215" s="1" t="s">
        <v>619</v>
      </c>
      <c r="D215" s="1" t="s">
        <v>21</v>
      </c>
      <c r="E215">
        <v>50.433300000000003</v>
      </c>
      <c r="F215">
        <v>21.283300000000001</v>
      </c>
      <c r="G215" s="1" t="s">
        <v>31</v>
      </c>
      <c r="H215" s="1" t="s">
        <v>38</v>
      </c>
      <c r="I215" s="1" t="s">
        <v>284</v>
      </c>
      <c r="J215" s="1" t="s">
        <v>34</v>
      </c>
      <c r="K215">
        <v>10</v>
      </c>
      <c r="L215">
        <v>611</v>
      </c>
      <c r="M215">
        <f t="shared" si="3"/>
        <v>6110</v>
      </c>
      <c r="N215" s="1" t="s">
        <v>386</v>
      </c>
      <c r="O215">
        <v>2018</v>
      </c>
      <c r="P215" s="1" t="s">
        <v>50</v>
      </c>
      <c r="Q215" s="1" t="s">
        <v>28</v>
      </c>
      <c r="R215" s="1" t="s">
        <v>29</v>
      </c>
    </row>
    <row r="216" spans="1:18" x14ac:dyDescent="0.25">
      <c r="A216" s="1" t="s">
        <v>18</v>
      </c>
      <c r="B216" s="1" t="s">
        <v>311</v>
      </c>
      <c r="C216" s="1" t="s">
        <v>312</v>
      </c>
      <c r="D216" s="1" t="s">
        <v>21</v>
      </c>
      <c r="E216">
        <v>49.9833</v>
      </c>
      <c r="F216">
        <v>20.433299999999999</v>
      </c>
      <c r="G216" s="1" t="s">
        <v>31</v>
      </c>
      <c r="H216" s="1" t="s">
        <v>38</v>
      </c>
      <c r="I216" s="1" t="s">
        <v>213</v>
      </c>
      <c r="J216" s="1" t="s">
        <v>88</v>
      </c>
      <c r="K216">
        <v>1</v>
      </c>
      <c r="L216">
        <v>628</v>
      </c>
      <c r="M216">
        <f t="shared" si="3"/>
        <v>628</v>
      </c>
      <c r="N216" s="1" t="s">
        <v>26</v>
      </c>
      <c r="O216">
        <v>2018</v>
      </c>
      <c r="P216" s="1" t="s">
        <v>27</v>
      </c>
      <c r="Q216" s="1" t="s">
        <v>28</v>
      </c>
      <c r="R216" s="1" t="s">
        <v>29</v>
      </c>
    </row>
    <row r="217" spans="1:18" x14ac:dyDescent="0.25">
      <c r="A217" s="1" t="s">
        <v>18</v>
      </c>
      <c r="B217" s="1" t="s">
        <v>231</v>
      </c>
      <c r="C217" s="1" t="s">
        <v>590</v>
      </c>
      <c r="D217" s="1" t="s">
        <v>21</v>
      </c>
      <c r="E217">
        <v>52.253100000000003</v>
      </c>
      <c r="F217">
        <v>15.9178</v>
      </c>
      <c r="G217" s="1" t="s">
        <v>22</v>
      </c>
      <c r="H217" s="1" t="s">
        <v>23</v>
      </c>
      <c r="I217" s="1" t="s">
        <v>387</v>
      </c>
      <c r="J217" s="1" t="s">
        <v>88</v>
      </c>
      <c r="K217">
        <v>4</v>
      </c>
      <c r="L217">
        <v>162</v>
      </c>
      <c r="M217">
        <f t="shared" si="3"/>
        <v>648</v>
      </c>
      <c r="N217" s="1" t="s">
        <v>26</v>
      </c>
      <c r="O217">
        <v>2018</v>
      </c>
      <c r="P217" s="1" t="s">
        <v>77</v>
      </c>
      <c r="Q217" s="1" t="s">
        <v>56</v>
      </c>
      <c r="R217" s="1" t="s">
        <v>57</v>
      </c>
    </row>
    <row r="218" spans="1:18" x14ac:dyDescent="0.25">
      <c r="A218" s="1" t="s">
        <v>18</v>
      </c>
      <c r="B218" s="1" t="s">
        <v>138</v>
      </c>
      <c r="C218" s="1" t="s">
        <v>563</v>
      </c>
      <c r="D218" s="1" t="s">
        <v>21</v>
      </c>
      <c r="E218">
        <v>53.2667</v>
      </c>
      <c r="F218">
        <v>16.466699999999999</v>
      </c>
      <c r="G218" s="1" t="s">
        <v>22</v>
      </c>
      <c r="H218" s="1" t="s">
        <v>74</v>
      </c>
      <c r="I218" s="1" t="s">
        <v>388</v>
      </c>
      <c r="J218" s="1" t="s">
        <v>88</v>
      </c>
      <c r="K218">
        <v>6</v>
      </c>
      <c r="L218">
        <v>595</v>
      </c>
      <c r="M218">
        <f t="shared" si="3"/>
        <v>3570</v>
      </c>
      <c r="N218" s="1" t="s">
        <v>76</v>
      </c>
      <c r="O218">
        <v>2018</v>
      </c>
      <c r="P218" s="1" t="s">
        <v>60</v>
      </c>
      <c r="Q218" s="1" t="s">
        <v>28</v>
      </c>
      <c r="R218" s="1" t="s">
        <v>29</v>
      </c>
    </row>
    <row r="219" spans="1:18" x14ac:dyDescent="0.25">
      <c r="A219" s="1" t="s">
        <v>18</v>
      </c>
      <c r="B219" s="1" t="s">
        <v>389</v>
      </c>
      <c r="C219" s="1" t="s">
        <v>390</v>
      </c>
      <c r="D219" s="1" t="s">
        <v>21</v>
      </c>
      <c r="E219">
        <v>53.313699999999997</v>
      </c>
      <c r="F219">
        <v>17.937000000000001</v>
      </c>
      <c r="G219" s="1" t="s">
        <v>22</v>
      </c>
      <c r="H219" s="1" t="s">
        <v>23</v>
      </c>
      <c r="I219" s="1" t="s">
        <v>391</v>
      </c>
      <c r="J219" s="1" t="s">
        <v>80</v>
      </c>
      <c r="K219">
        <v>10</v>
      </c>
      <c r="L219">
        <v>634</v>
      </c>
      <c r="M219">
        <f t="shared" si="3"/>
        <v>6340</v>
      </c>
      <c r="N219" s="1" t="s">
        <v>26</v>
      </c>
      <c r="O219">
        <v>2018</v>
      </c>
      <c r="P219" s="1" t="s">
        <v>81</v>
      </c>
      <c r="Q219" s="1" t="s">
        <v>41</v>
      </c>
      <c r="R219" s="1" t="s">
        <v>42</v>
      </c>
    </row>
    <row r="220" spans="1:18" x14ac:dyDescent="0.25">
      <c r="A220" s="1" t="s">
        <v>18</v>
      </c>
      <c r="B220" s="1" t="s">
        <v>392</v>
      </c>
      <c r="C220" s="1" t="s">
        <v>620</v>
      </c>
      <c r="D220" s="1" t="s">
        <v>21</v>
      </c>
      <c r="E220">
        <v>53.0167</v>
      </c>
      <c r="F220">
        <v>18.616700000000002</v>
      </c>
      <c r="G220" s="1" t="s">
        <v>31</v>
      </c>
      <c r="H220" s="1" t="s">
        <v>32</v>
      </c>
      <c r="I220" s="1" t="s">
        <v>393</v>
      </c>
      <c r="J220" s="1" t="s">
        <v>117</v>
      </c>
      <c r="K220">
        <v>12</v>
      </c>
      <c r="L220">
        <v>474</v>
      </c>
      <c r="M220">
        <f t="shared" si="3"/>
        <v>5688</v>
      </c>
      <c r="N220" s="1" t="s">
        <v>26</v>
      </c>
      <c r="O220">
        <v>2018</v>
      </c>
      <c r="P220" s="1" t="s">
        <v>66</v>
      </c>
      <c r="Q220" s="1" t="s">
        <v>67</v>
      </c>
      <c r="R220" s="1" t="s">
        <v>68</v>
      </c>
    </row>
    <row r="221" spans="1:18" x14ac:dyDescent="0.25">
      <c r="A221" s="1" t="s">
        <v>18</v>
      </c>
      <c r="B221" s="1" t="s">
        <v>394</v>
      </c>
      <c r="C221" s="1" t="s">
        <v>621</v>
      </c>
      <c r="D221" s="1" t="s">
        <v>21</v>
      </c>
      <c r="E221">
        <v>51.939700000000002</v>
      </c>
      <c r="F221">
        <v>15.505000000000001</v>
      </c>
      <c r="G221" s="1" t="s">
        <v>22</v>
      </c>
      <c r="H221" s="1" t="s">
        <v>74</v>
      </c>
      <c r="I221" s="1" t="s">
        <v>395</v>
      </c>
      <c r="J221" s="1" t="s">
        <v>34</v>
      </c>
      <c r="K221">
        <v>20</v>
      </c>
      <c r="L221">
        <v>33</v>
      </c>
      <c r="M221">
        <f t="shared" si="3"/>
        <v>660</v>
      </c>
      <c r="N221" s="1" t="s">
        <v>386</v>
      </c>
      <c r="O221">
        <v>2018</v>
      </c>
      <c r="P221" s="1" t="s">
        <v>71</v>
      </c>
      <c r="Q221" s="1" t="s">
        <v>41</v>
      </c>
      <c r="R221" s="1" t="s">
        <v>42</v>
      </c>
    </row>
    <row r="222" spans="1:18" x14ac:dyDescent="0.25">
      <c r="A222" s="1" t="s">
        <v>18</v>
      </c>
      <c r="B222" s="1" t="s">
        <v>138</v>
      </c>
      <c r="C222" s="1" t="s">
        <v>563</v>
      </c>
      <c r="D222" s="1" t="s">
        <v>21</v>
      </c>
      <c r="E222">
        <v>53.2667</v>
      </c>
      <c r="F222">
        <v>16.466699999999999</v>
      </c>
      <c r="G222" s="1" t="s">
        <v>22</v>
      </c>
      <c r="H222" s="1" t="s">
        <v>74</v>
      </c>
      <c r="I222" s="1" t="s">
        <v>235</v>
      </c>
      <c r="J222" s="1" t="s">
        <v>88</v>
      </c>
      <c r="K222">
        <v>6</v>
      </c>
      <c r="L222">
        <v>385</v>
      </c>
      <c r="M222">
        <f t="shared" si="3"/>
        <v>2310</v>
      </c>
      <c r="N222" s="1" t="s">
        <v>26</v>
      </c>
      <c r="O222">
        <v>2018</v>
      </c>
      <c r="P222" s="1" t="s">
        <v>50</v>
      </c>
      <c r="Q222" s="1" t="s">
        <v>28</v>
      </c>
      <c r="R222" s="1" t="s">
        <v>29</v>
      </c>
    </row>
    <row r="223" spans="1:18" x14ac:dyDescent="0.25">
      <c r="A223" s="1" t="s">
        <v>18</v>
      </c>
      <c r="B223" s="1" t="s">
        <v>371</v>
      </c>
      <c r="C223" s="1" t="s">
        <v>617</v>
      </c>
      <c r="D223" s="1" t="s">
        <v>21</v>
      </c>
      <c r="E223">
        <v>52.339500000000001</v>
      </c>
      <c r="F223">
        <v>21.195900000000002</v>
      </c>
      <c r="G223" s="1" t="s">
        <v>22</v>
      </c>
      <c r="H223" s="1" t="s">
        <v>74</v>
      </c>
      <c r="I223" s="1" t="s">
        <v>396</v>
      </c>
      <c r="J223" s="1" t="s">
        <v>45</v>
      </c>
      <c r="K223">
        <v>2</v>
      </c>
      <c r="L223">
        <v>578</v>
      </c>
      <c r="M223">
        <f t="shared" si="3"/>
        <v>1156</v>
      </c>
      <c r="N223" s="1" t="s">
        <v>26</v>
      </c>
      <c r="O223">
        <v>2018</v>
      </c>
      <c r="P223" s="1" t="s">
        <v>106</v>
      </c>
      <c r="Q223" s="1" t="s">
        <v>67</v>
      </c>
      <c r="R223" s="1" t="s">
        <v>68</v>
      </c>
    </row>
    <row r="224" spans="1:18" x14ac:dyDescent="0.25">
      <c r="A224" s="1" t="s">
        <v>18</v>
      </c>
      <c r="B224" s="1" t="s">
        <v>343</v>
      </c>
      <c r="C224" s="1" t="s">
        <v>344</v>
      </c>
      <c r="D224" s="1" t="s">
        <v>21</v>
      </c>
      <c r="E224">
        <v>51.787700000000001</v>
      </c>
      <c r="F224">
        <v>14.9724</v>
      </c>
      <c r="G224" s="1" t="s">
        <v>22</v>
      </c>
      <c r="H224" s="1" t="s">
        <v>23</v>
      </c>
      <c r="I224" s="1" t="s">
        <v>397</v>
      </c>
      <c r="J224" s="1" t="s">
        <v>45</v>
      </c>
      <c r="K224">
        <v>2</v>
      </c>
      <c r="L224">
        <v>621</v>
      </c>
      <c r="M224">
        <f t="shared" si="3"/>
        <v>1242</v>
      </c>
      <c r="N224" s="1" t="s">
        <v>26</v>
      </c>
      <c r="O224">
        <v>2018</v>
      </c>
      <c r="P224" s="1" t="s">
        <v>40</v>
      </c>
      <c r="Q224" s="1" t="s">
        <v>41</v>
      </c>
      <c r="R224" s="1" t="s">
        <v>42</v>
      </c>
    </row>
    <row r="225" spans="1:18" x14ac:dyDescent="0.25">
      <c r="A225" s="1" t="s">
        <v>18</v>
      </c>
      <c r="B225" s="1" t="s">
        <v>138</v>
      </c>
      <c r="C225" s="1" t="s">
        <v>563</v>
      </c>
      <c r="D225" s="1" t="s">
        <v>21</v>
      </c>
      <c r="E225">
        <v>53.2667</v>
      </c>
      <c r="F225">
        <v>16.466699999999999</v>
      </c>
      <c r="G225" s="1" t="s">
        <v>22</v>
      </c>
      <c r="H225" s="1" t="s">
        <v>74</v>
      </c>
      <c r="I225" s="1" t="s">
        <v>398</v>
      </c>
      <c r="J225" s="1" t="s">
        <v>117</v>
      </c>
      <c r="K225">
        <v>4</v>
      </c>
      <c r="L225">
        <v>409</v>
      </c>
      <c r="M225">
        <f t="shared" si="3"/>
        <v>1636</v>
      </c>
      <c r="N225" s="1" t="s">
        <v>283</v>
      </c>
      <c r="O225">
        <v>2018</v>
      </c>
      <c r="P225" s="1" t="s">
        <v>50</v>
      </c>
      <c r="Q225" s="1" t="s">
        <v>28</v>
      </c>
      <c r="R225" s="1" t="s">
        <v>29</v>
      </c>
    </row>
    <row r="226" spans="1:18" x14ac:dyDescent="0.25">
      <c r="A226" s="1" t="s">
        <v>18</v>
      </c>
      <c r="B226" s="1" t="s">
        <v>206</v>
      </c>
      <c r="C226" s="1" t="s">
        <v>584</v>
      </c>
      <c r="D226" s="1" t="s">
        <v>21</v>
      </c>
      <c r="E226">
        <v>52.124299999999998</v>
      </c>
      <c r="F226">
        <v>20.665400000000002</v>
      </c>
      <c r="G226" s="1" t="s">
        <v>31</v>
      </c>
      <c r="H226" s="1" t="s">
        <v>32</v>
      </c>
      <c r="I226" s="1" t="s">
        <v>399</v>
      </c>
      <c r="J226" s="1" t="s">
        <v>34</v>
      </c>
      <c r="K226">
        <v>24</v>
      </c>
      <c r="L226">
        <v>688</v>
      </c>
      <c r="M226">
        <f t="shared" si="3"/>
        <v>16512</v>
      </c>
      <c r="N226" s="1" t="s">
        <v>26</v>
      </c>
      <c r="O226">
        <v>2018</v>
      </c>
      <c r="P226" s="1" t="s">
        <v>35</v>
      </c>
      <c r="Q226" s="1" t="s">
        <v>28</v>
      </c>
      <c r="R226" s="1" t="s">
        <v>29</v>
      </c>
    </row>
    <row r="227" spans="1:18" x14ac:dyDescent="0.25">
      <c r="A227" s="1" t="s">
        <v>18</v>
      </c>
      <c r="B227" s="1" t="s">
        <v>400</v>
      </c>
      <c r="C227" s="1" t="s">
        <v>622</v>
      </c>
      <c r="D227" s="1" t="s">
        <v>21</v>
      </c>
      <c r="E227">
        <v>51.416600000000003</v>
      </c>
      <c r="F227">
        <v>21.9694</v>
      </c>
      <c r="G227" s="1" t="s">
        <v>22</v>
      </c>
      <c r="H227" s="1" t="s">
        <v>74</v>
      </c>
      <c r="I227" s="1" t="s">
        <v>219</v>
      </c>
      <c r="J227" s="1" t="s">
        <v>117</v>
      </c>
      <c r="K227">
        <v>2</v>
      </c>
      <c r="L227">
        <v>713</v>
      </c>
      <c r="M227">
        <f t="shared" si="3"/>
        <v>1426</v>
      </c>
      <c r="N227" s="1" t="s">
        <v>314</v>
      </c>
      <c r="O227">
        <v>2018</v>
      </c>
      <c r="P227" s="1" t="s">
        <v>81</v>
      </c>
      <c r="Q227" s="1" t="s">
        <v>41</v>
      </c>
      <c r="R227" s="1" t="s">
        <v>42</v>
      </c>
    </row>
    <row r="228" spans="1:18" x14ac:dyDescent="0.25">
      <c r="A228" s="1" t="s">
        <v>18</v>
      </c>
      <c r="B228" s="1" t="s">
        <v>401</v>
      </c>
      <c r="C228" s="1" t="s">
        <v>623</v>
      </c>
      <c r="D228" s="1" t="s">
        <v>21</v>
      </c>
      <c r="E228">
        <v>54.006999999999998</v>
      </c>
      <c r="F228">
        <v>15.987500000000001</v>
      </c>
      <c r="G228" s="1" t="s">
        <v>22</v>
      </c>
      <c r="H228" s="1" t="s">
        <v>23</v>
      </c>
      <c r="I228" s="1" t="s">
        <v>402</v>
      </c>
      <c r="J228" s="1" t="s">
        <v>25</v>
      </c>
      <c r="K228">
        <v>4</v>
      </c>
      <c r="L228">
        <v>404</v>
      </c>
      <c r="M228">
        <f t="shared" si="3"/>
        <v>1616</v>
      </c>
      <c r="N228" s="1" t="s">
        <v>26</v>
      </c>
      <c r="O228">
        <v>2018</v>
      </c>
      <c r="P228" s="1" t="s">
        <v>103</v>
      </c>
      <c r="Q228" s="1" t="s">
        <v>56</v>
      </c>
      <c r="R228" s="1" t="s">
        <v>57</v>
      </c>
    </row>
    <row r="229" spans="1:18" x14ac:dyDescent="0.25">
      <c r="A229" s="1" t="s">
        <v>18</v>
      </c>
      <c r="B229" s="1" t="s">
        <v>140</v>
      </c>
      <c r="C229" s="1" t="s">
        <v>564</v>
      </c>
      <c r="D229" s="1" t="s">
        <v>218</v>
      </c>
      <c r="E229">
        <v>49.882100000000001</v>
      </c>
      <c r="F229">
        <v>19.223299999999998</v>
      </c>
      <c r="G229" s="1" t="s">
        <v>31</v>
      </c>
      <c r="H229" s="1" t="s">
        <v>38</v>
      </c>
      <c r="I229" s="1" t="s">
        <v>325</v>
      </c>
      <c r="J229" s="1" t="s">
        <v>34</v>
      </c>
      <c r="K229">
        <v>1</v>
      </c>
      <c r="L229">
        <v>400</v>
      </c>
      <c r="M229">
        <f t="shared" si="3"/>
        <v>400</v>
      </c>
      <c r="N229" s="1" t="s">
        <v>124</v>
      </c>
      <c r="O229">
        <v>2018</v>
      </c>
      <c r="P229" s="1" t="s">
        <v>81</v>
      </c>
      <c r="Q229" s="1" t="s">
        <v>41</v>
      </c>
      <c r="R229" s="1" t="s">
        <v>42</v>
      </c>
    </row>
    <row r="230" spans="1:18" x14ac:dyDescent="0.25">
      <c r="A230" s="1" t="s">
        <v>18</v>
      </c>
      <c r="B230" s="1" t="s">
        <v>140</v>
      </c>
      <c r="C230" s="1" t="s">
        <v>564</v>
      </c>
      <c r="D230" s="1" t="s">
        <v>21</v>
      </c>
      <c r="E230">
        <v>49.882100000000001</v>
      </c>
      <c r="F230">
        <v>19.223299999999998</v>
      </c>
      <c r="G230" s="1" t="s">
        <v>31</v>
      </c>
      <c r="H230" s="1" t="s">
        <v>38</v>
      </c>
      <c r="I230" s="1" t="s">
        <v>403</v>
      </c>
      <c r="J230" s="1" t="s">
        <v>88</v>
      </c>
      <c r="K230">
        <v>2</v>
      </c>
      <c r="L230">
        <v>585</v>
      </c>
      <c r="M230">
        <f t="shared" si="3"/>
        <v>1170</v>
      </c>
      <c r="N230" s="1" t="s">
        <v>26</v>
      </c>
      <c r="O230">
        <v>2018</v>
      </c>
      <c r="P230" s="1" t="s">
        <v>40</v>
      </c>
      <c r="Q230" s="1" t="s">
        <v>41</v>
      </c>
      <c r="R230" s="1" t="s">
        <v>42</v>
      </c>
    </row>
    <row r="231" spans="1:18" x14ac:dyDescent="0.25">
      <c r="A231" s="1" t="s">
        <v>18</v>
      </c>
      <c r="B231" s="1" t="s">
        <v>236</v>
      </c>
      <c r="C231" s="1" t="s">
        <v>237</v>
      </c>
      <c r="D231" s="1" t="s">
        <v>21</v>
      </c>
      <c r="E231">
        <v>50.297600000000003</v>
      </c>
      <c r="F231">
        <v>18.676600000000001</v>
      </c>
      <c r="G231" s="1" t="s">
        <v>31</v>
      </c>
      <c r="H231" s="1" t="s">
        <v>32</v>
      </c>
      <c r="I231" s="1" t="s">
        <v>39</v>
      </c>
      <c r="J231" s="1" t="s">
        <v>34</v>
      </c>
      <c r="K231">
        <v>5</v>
      </c>
      <c r="L231">
        <v>66</v>
      </c>
      <c r="M231">
        <f t="shared" si="3"/>
        <v>330</v>
      </c>
      <c r="N231" s="1" t="s">
        <v>26</v>
      </c>
      <c r="O231">
        <v>2018</v>
      </c>
      <c r="P231" s="1" t="s">
        <v>35</v>
      </c>
      <c r="Q231" s="1" t="s">
        <v>28</v>
      </c>
      <c r="R231" s="1" t="s">
        <v>29</v>
      </c>
    </row>
    <row r="232" spans="1:18" x14ac:dyDescent="0.25">
      <c r="A232" s="1" t="s">
        <v>18</v>
      </c>
      <c r="B232" s="1" t="s">
        <v>404</v>
      </c>
      <c r="C232" s="1" t="s">
        <v>405</v>
      </c>
      <c r="D232" s="1" t="s">
        <v>21</v>
      </c>
      <c r="E232">
        <v>50.283299999999997</v>
      </c>
      <c r="F232">
        <v>21.433299999999999</v>
      </c>
      <c r="G232" s="1" t="s">
        <v>22</v>
      </c>
      <c r="H232" s="1" t="s">
        <v>23</v>
      </c>
      <c r="I232" s="1" t="s">
        <v>361</v>
      </c>
      <c r="J232" s="1" t="s">
        <v>80</v>
      </c>
      <c r="K232">
        <v>10</v>
      </c>
      <c r="L232">
        <v>742</v>
      </c>
      <c r="M232">
        <f t="shared" si="3"/>
        <v>7420</v>
      </c>
      <c r="N232" s="1" t="s">
        <v>26</v>
      </c>
      <c r="O232">
        <v>2018</v>
      </c>
      <c r="P232" s="1" t="s">
        <v>106</v>
      </c>
      <c r="Q232" s="1" t="s">
        <v>67</v>
      </c>
      <c r="R232" s="1" t="s">
        <v>68</v>
      </c>
    </row>
    <row r="233" spans="1:18" x14ac:dyDescent="0.25">
      <c r="A233" s="1" t="s">
        <v>18</v>
      </c>
      <c r="B233" s="1" t="s">
        <v>278</v>
      </c>
      <c r="C233" s="1" t="s">
        <v>279</v>
      </c>
      <c r="D233" s="1" t="s">
        <v>21</v>
      </c>
      <c r="E233">
        <v>51.152799999999999</v>
      </c>
      <c r="F233">
        <v>15</v>
      </c>
      <c r="G233" s="1" t="s">
        <v>31</v>
      </c>
      <c r="H233" s="1" t="s">
        <v>38</v>
      </c>
      <c r="I233" s="1" t="s">
        <v>406</v>
      </c>
      <c r="J233" s="1" t="s">
        <v>88</v>
      </c>
      <c r="K233">
        <v>20</v>
      </c>
      <c r="L233">
        <v>726</v>
      </c>
      <c r="M233">
        <f t="shared" si="3"/>
        <v>14520</v>
      </c>
      <c r="N233" s="1" t="s">
        <v>26</v>
      </c>
      <c r="O233">
        <v>2018</v>
      </c>
      <c r="P233" s="1" t="s">
        <v>60</v>
      </c>
      <c r="Q233" s="1" t="s">
        <v>28</v>
      </c>
      <c r="R233" s="1" t="s">
        <v>29</v>
      </c>
    </row>
    <row r="234" spans="1:18" x14ac:dyDescent="0.25">
      <c r="A234" s="1" t="s">
        <v>18</v>
      </c>
      <c r="B234" s="1" t="s">
        <v>142</v>
      </c>
      <c r="C234" s="1" t="s">
        <v>565</v>
      </c>
      <c r="D234" s="1" t="s">
        <v>21</v>
      </c>
      <c r="E234">
        <v>50.8</v>
      </c>
      <c r="F234">
        <v>19.116700000000002</v>
      </c>
      <c r="G234" s="1" t="s">
        <v>31</v>
      </c>
      <c r="H234" s="1" t="s">
        <v>32</v>
      </c>
      <c r="I234" s="1" t="s">
        <v>407</v>
      </c>
      <c r="J234" s="1" t="s">
        <v>88</v>
      </c>
      <c r="K234">
        <v>5</v>
      </c>
      <c r="L234">
        <v>490</v>
      </c>
      <c r="M234">
        <f t="shared" si="3"/>
        <v>2450</v>
      </c>
      <c r="N234" s="1" t="s">
        <v>26</v>
      </c>
      <c r="O234">
        <v>2018</v>
      </c>
      <c r="P234" s="1" t="s">
        <v>95</v>
      </c>
      <c r="Q234" s="1" t="s">
        <v>67</v>
      </c>
      <c r="R234" s="1" t="s">
        <v>68</v>
      </c>
    </row>
    <row r="235" spans="1:18" x14ac:dyDescent="0.25">
      <c r="A235" s="1" t="s">
        <v>18</v>
      </c>
      <c r="B235" s="1" t="s">
        <v>408</v>
      </c>
      <c r="C235" s="1" t="s">
        <v>409</v>
      </c>
      <c r="D235" s="1" t="s">
        <v>21</v>
      </c>
      <c r="E235">
        <v>54.028500000000001</v>
      </c>
      <c r="F235">
        <v>19.0444</v>
      </c>
      <c r="G235" s="1" t="s">
        <v>22</v>
      </c>
      <c r="H235" s="1" t="s">
        <v>23</v>
      </c>
      <c r="I235" s="1" t="s">
        <v>410</v>
      </c>
      <c r="J235" s="1" t="s">
        <v>117</v>
      </c>
      <c r="K235">
        <v>15</v>
      </c>
      <c r="L235">
        <v>516</v>
      </c>
      <c r="M235">
        <f t="shared" si="3"/>
        <v>7740</v>
      </c>
      <c r="N235" s="1" t="s">
        <v>26</v>
      </c>
      <c r="O235">
        <v>2018</v>
      </c>
      <c r="P235" s="1" t="s">
        <v>55</v>
      </c>
      <c r="Q235" s="1" t="s">
        <v>56</v>
      </c>
      <c r="R235" s="1" t="s">
        <v>57</v>
      </c>
    </row>
    <row r="236" spans="1:18" x14ac:dyDescent="0.25">
      <c r="A236" s="1" t="s">
        <v>18</v>
      </c>
      <c r="B236" s="1" t="s">
        <v>404</v>
      </c>
      <c r="C236" s="1" t="s">
        <v>405</v>
      </c>
      <c r="D236" s="1" t="s">
        <v>21</v>
      </c>
      <c r="E236">
        <v>50.283299999999997</v>
      </c>
      <c r="F236">
        <v>21.433299999999999</v>
      </c>
      <c r="G236" s="1" t="s">
        <v>22</v>
      </c>
      <c r="H236" s="1" t="s">
        <v>23</v>
      </c>
      <c r="I236" s="1" t="s">
        <v>309</v>
      </c>
      <c r="J236" s="1" t="s">
        <v>88</v>
      </c>
      <c r="K236">
        <v>4</v>
      </c>
      <c r="L236">
        <v>141</v>
      </c>
      <c r="M236">
        <f t="shared" si="3"/>
        <v>564</v>
      </c>
      <c r="N236" s="1" t="s">
        <v>26</v>
      </c>
      <c r="O236">
        <v>2018</v>
      </c>
      <c r="P236" s="1" t="s">
        <v>50</v>
      </c>
      <c r="Q236" s="1" t="s">
        <v>28</v>
      </c>
      <c r="R236" s="1" t="s">
        <v>29</v>
      </c>
    </row>
    <row r="237" spans="1:18" x14ac:dyDescent="0.25">
      <c r="A237" s="1" t="s">
        <v>18</v>
      </c>
      <c r="B237" s="1" t="s">
        <v>301</v>
      </c>
      <c r="C237" s="1" t="s">
        <v>605</v>
      </c>
      <c r="D237" s="1" t="s">
        <v>21</v>
      </c>
      <c r="E237">
        <v>49.5625</v>
      </c>
      <c r="F237">
        <v>20.636399999999998</v>
      </c>
      <c r="G237" s="1" t="s">
        <v>22</v>
      </c>
      <c r="H237" s="1" t="s">
        <v>23</v>
      </c>
      <c r="I237" s="1" t="s">
        <v>202</v>
      </c>
      <c r="J237" s="1" t="s">
        <v>34</v>
      </c>
      <c r="K237">
        <v>6</v>
      </c>
      <c r="L237">
        <v>497</v>
      </c>
      <c r="M237">
        <f t="shared" si="3"/>
        <v>2982</v>
      </c>
      <c r="N237" s="1" t="s">
        <v>26</v>
      </c>
      <c r="O237">
        <v>2018</v>
      </c>
      <c r="P237" s="1" t="s">
        <v>81</v>
      </c>
      <c r="Q237" s="1" t="s">
        <v>41</v>
      </c>
      <c r="R237" s="1" t="s">
        <v>42</v>
      </c>
    </row>
    <row r="238" spans="1:18" x14ac:dyDescent="0.25">
      <c r="A238" s="1" t="s">
        <v>18</v>
      </c>
      <c r="B238" s="1" t="s">
        <v>86</v>
      </c>
      <c r="C238" s="1" t="s">
        <v>547</v>
      </c>
      <c r="D238" s="1" t="s">
        <v>21</v>
      </c>
      <c r="E238">
        <v>54.366700000000002</v>
      </c>
      <c r="F238">
        <v>18.633299999999998</v>
      </c>
      <c r="G238" s="1" t="s">
        <v>31</v>
      </c>
      <c r="H238" s="1" t="s">
        <v>32</v>
      </c>
      <c r="I238" s="1" t="s">
        <v>411</v>
      </c>
      <c r="J238" s="1" t="s">
        <v>80</v>
      </c>
      <c r="K238">
        <v>13</v>
      </c>
      <c r="L238">
        <v>469</v>
      </c>
      <c r="M238">
        <f t="shared" si="3"/>
        <v>6097</v>
      </c>
      <c r="N238" s="1" t="s">
        <v>26</v>
      </c>
      <c r="O238">
        <v>2018</v>
      </c>
      <c r="P238" s="1" t="s">
        <v>103</v>
      </c>
      <c r="Q238" s="1" t="s">
        <v>56</v>
      </c>
      <c r="R238" s="1" t="s">
        <v>57</v>
      </c>
    </row>
    <row r="239" spans="1:18" x14ac:dyDescent="0.25">
      <c r="A239" s="1" t="s">
        <v>18</v>
      </c>
      <c r="B239" s="1" t="s">
        <v>412</v>
      </c>
      <c r="C239" s="1" t="s">
        <v>413</v>
      </c>
      <c r="D239" s="1" t="s">
        <v>21</v>
      </c>
      <c r="E239">
        <v>49.989400000000003</v>
      </c>
      <c r="F239">
        <v>20.066099999999999</v>
      </c>
      <c r="G239" s="1" t="s">
        <v>31</v>
      </c>
      <c r="H239" s="1" t="s">
        <v>38</v>
      </c>
      <c r="I239" s="1" t="s">
        <v>414</v>
      </c>
      <c r="J239" s="1" t="s">
        <v>117</v>
      </c>
      <c r="K239">
        <v>3</v>
      </c>
      <c r="L239">
        <v>262</v>
      </c>
      <c r="M239">
        <f t="shared" si="3"/>
        <v>786</v>
      </c>
      <c r="N239" s="1" t="s">
        <v>26</v>
      </c>
      <c r="O239">
        <v>2018</v>
      </c>
      <c r="P239" s="1" t="s">
        <v>66</v>
      </c>
      <c r="Q239" s="1" t="s">
        <v>67</v>
      </c>
      <c r="R239" s="1" t="s">
        <v>68</v>
      </c>
    </row>
    <row r="240" spans="1:18" x14ac:dyDescent="0.25">
      <c r="A240" s="1" t="s">
        <v>18</v>
      </c>
      <c r="B240" s="1" t="s">
        <v>252</v>
      </c>
      <c r="C240" s="1" t="s">
        <v>594</v>
      </c>
      <c r="D240" s="1" t="s">
        <v>21</v>
      </c>
      <c r="E240">
        <v>50.6</v>
      </c>
      <c r="F240">
        <v>17.0444</v>
      </c>
      <c r="G240" s="1" t="s">
        <v>22</v>
      </c>
      <c r="H240" s="1" t="s">
        <v>74</v>
      </c>
      <c r="I240" s="1" t="s">
        <v>415</v>
      </c>
      <c r="J240" s="1" t="s">
        <v>45</v>
      </c>
      <c r="K240">
        <v>30</v>
      </c>
      <c r="L240">
        <v>64</v>
      </c>
      <c r="M240">
        <f t="shared" si="3"/>
        <v>1920</v>
      </c>
      <c r="N240" s="1" t="s">
        <v>124</v>
      </c>
      <c r="O240">
        <v>2018</v>
      </c>
      <c r="P240" s="1" t="s">
        <v>95</v>
      </c>
      <c r="Q240" s="1" t="s">
        <v>67</v>
      </c>
      <c r="R240" s="1" t="s">
        <v>68</v>
      </c>
    </row>
    <row r="241" spans="1:18" x14ac:dyDescent="0.25">
      <c r="A241" s="1" t="s">
        <v>18</v>
      </c>
      <c r="B241" s="1" t="s">
        <v>257</v>
      </c>
      <c r="C241" s="1" t="s">
        <v>595</v>
      </c>
      <c r="D241" s="1" t="s">
        <v>21</v>
      </c>
      <c r="E241">
        <v>49.784999999999997</v>
      </c>
      <c r="F241">
        <v>22.767299999999999</v>
      </c>
      <c r="G241" s="1" t="s">
        <v>31</v>
      </c>
      <c r="H241" s="1" t="s">
        <v>38</v>
      </c>
      <c r="I241" s="1" t="s">
        <v>416</v>
      </c>
      <c r="J241" s="1" t="s">
        <v>80</v>
      </c>
      <c r="K241">
        <v>2</v>
      </c>
      <c r="L241">
        <v>518</v>
      </c>
      <c r="M241">
        <f t="shared" si="3"/>
        <v>1036</v>
      </c>
      <c r="N241" s="1" t="s">
        <v>26</v>
      </c>
      <c r="O241">
        <v>2018</v>
      </c>
      <c r="P241" s="1" t="s">
        <v>106</v>
      </c>
      <c r="Q241" s="1" t="s">
        <v>67</v>
      </c>
      <c r="R241" s="1" t="s">
        <v>68</v>
      </c>
    </row>
    <row r="242" spans="1:18" x14ac:dyDescent="0.25">
      <c r="A242" s="1" t="s">
        <v>18</v>
      </c>
      <c r="B242" s="1" t="s">
        <v>136</v>
      </c>
      <c r="C242" s="1" t="s">
        <v>562</v>
      </c>
      <c r="D242" s="1" t="s">
        <v>21</v>
      </c>
      <c r="E242">
        <v>49.822499999999998</v>
      </c>
      <c r="F242">
        <v>19.0444</v>
      </c>
      <c r="G242" s="1" t="s">
        <v>31</v>
      </c>
      <c r="H242" s="1" t="s">
        <v>38</v>
      </c>
      <c r="I242" s="1" t="s">
        <v>410</v>
      </c>
      <c r="J242" s="1" t="s">
        <v>117</v>
      </c>
      <c r="K242">
        <v>5</v>
      </c>
      <c r="L242">
        <v>516</v>
      </c>
      <c r="M242">
        <f t="shared" si="3"/>
        <v>2580</v>
      </c>
      <c r="N242" s="1" t="s">
        <v>26</v>
      </c>
      <c r="O242">
        <v>2018</v>
      </c>
      <c r="P242" s="1" t="s">
        <v>77</v>
      </c>
      <c r="Q242" s="1" t="s">
        <v>56</v>
      </c>
      <c r="R242" s="1" t="s">
        <v>57</v>
      </c>
    </row>
    <row r="243" spans="1:18" x14ac:dyDescent="0.25">
      <c r="A243" s="1" t="s">
        <v>18</v>
      </c>
      <c r="B243" s="1" t="s">
        <v>173</v>
      </c>
      <c r="C243" s="1" t="s">
        <v>576</v>
      </c>
      <c r="D243" s="1" t="s">
        <v>21</v>
      </c>
      <c r="E243">
        <v>53.916699999999999</v>
      </c>
      <c r="F243">
        <v>14.25</v>
      </c>
      <c r="G243" s="1" t="s">
        <v>22</v>
      </c>
      <c r="H243" s="1" t="s">
        <v>74</v>
      </c>
      <c r="I243" s="1" t="s">
        <v>377</v>
      </c>
      <c r="J243" s="1" t="s">
        <v>88</v>
      </c>
      <c r="K243">
        <v>5</v>
      </c>
      <c r="L243">
        <v>438</v>
      </c>
      <c r="M243">
        <f t="shared" si="3"/>
        <v>2190</v>
      </c>
      <c r="N243" s="1" t="s">
        <v>314</v>
      </c>
      <c r="O243">
        <v>2018</v>
      </c>
      <c r="P243" s="1" t="s">
        <v>81</v>
      </c>
      <c r="Q243" s="1" t="s">
        <v>41</v>
      </c>
      <c r="R243" s="1" t="s">
        <v>42</v>
      </c>
    </row>
    <row r="244" spans="1:18" x14ac:dyDescent="0.25">
      <c r="A244" s="1" t="s">
        <v>18</v>
      </c>
      <c r="B244" s="1" t="s">
        <v>417</v>
      </c>
      <c r="C244" s="1" t="s">
        <v>418</v>
      </c>
      <c r="D244" s="1" t="s">
        <v>21</v>
      </c>
      <c r="E244">
        <v>51.697000000000003</v>
      </c>
      <c r="F244">
        <v>17.435700000000001</v>
      </c>
      <c r="G244" s="1" t="s">
        <v>31</v>
      </c>
      <c r="H244" s="1" t="s">
        <v>32</v>
      </c>
      <c r="I244" s="1" t="s">
        <v>197</v>
      </c>
      <c r="J244" s="1" t="s">
        <v>25</v>
      </c>
      <c r="K244">
        <v>2</v>
      </c>
      <c r="L244">
        <v>201</v>
      </c>
      <c r="M244">
        <f t="shared" si="3"/>
        <v>402</v>
      </c>
      <c r="N244" s="1" t="s">
        <v>26</v>
      </c>
      <c r="O244">
        <v>2018</v>
      </c>
      <c r="P244" s="1" t="s">
        <v>95</v>
      </c>
      <c r="Q244" s="1" t="s">
        <v>67</v>
      </c>
      <c r="R244" s="1" t="s">
        <v>68</v>
      </c>
    </row>
    <row r="245" spans="1:18" x14ac:dyDescent="0.25">
      <c r="A245" s="1" t="s">
        <v>18</v>
      </c>
      <c r="B245" s="1" t="s">
        <v>323</v>
      </c>
      <c r="C245" s="1" t="s">
        <v>324</v>
      </c>
      <c r="D245" s="1" t="s">
        <v>21</v>
      </c>
      <c r="E245">
        <v>50.059100000000001</v>
      </c>
      <c r="F245">
        <v>22.4941</v>
      </c>
      <c r="G245" s="1" t="s">
        <v>31</v>
      </c>
      <c r="H245" s="1" t="s">
        <v>38</v>
      </c>
      <c r="I245" s="1" t="s">
        <v>197</v>
      </c>
      <c r="J245" s="1" t="s">
        <v>25</v>
      </c>
      <c r="K245">
        <v>2</v>
      </c>
      <c r="L245">
        <v>201</v>
      </c>
      <c r="M245">
        <f t="shared" si="3"/>
        <v>402</v>
      </c>
      <c r="N245" s="1" t="s">
        <v>289</v>
      </c>
      <c r="O245">
        <v>2018</v>
      </c>
      <c r="P245" s="1" t="s">
        <v>71</v>
      </c>
      <c r="Q245" s="1" t="s">
        <v>41</v>
      </c>
      <c r="R245" s="1" t="s">
        <v>42</v>
      </c>
    </row>
    <row r="246" spans="1:18" x14ac:dyDescent="0.25">
      <c r="A246" s="1" t="s">
        <v>18</v>
      </c>
      <c r="B246" s="1" t="s">
        <v>419</v>
      </c>
      <c r="C246" s="1" t="s">
        <v>420</v>
      </c>
      <c r="D246" s="1" t="s">
        <v>21</v>
      </c>
      <c r="E246">
        <v>54.190300000000001</v>
      </c>
      <c r="F246">
        <v>16.181699999999999</v>
      </c>
      <c r="G246" s="1" t="s">
        <v>22</v>
      </c>
      <c r="H246" s="1" t="s">
        <v>23</v>
      </c>
      <c r="I246" s="1" t="s">
        <v>111</v>
      </c>
      <c r="J246" s="1" t="s">
        <v>34</v>
      </c>
      <c r="K246">
        <v>30</v>
      </c>
      <c r="L246">
        <v>215</v>
      </c>
      <c r="M246">
        <f t="shared" si="3"/>
        <v>6450</v>
      </c>
      <c r="N246" s="1" t="s">
        <v>26</v>
      </c>
      <c r="O246">
        <v>2018</v>
      </c>
      <c r="P246" s="1" t="s">
        <v>66</v>
      </c>
      <c r="Q246" s="1" t="s">
        <v>67</v>
      </c>
      <c r="R246" s="1" t="s">
        <v>68</v>
      </c>
    </row>
    <row r="247" spans="1:18" x14ac:dyDescent="0.25">
      <c r="A247" s="1" t="s">
        <v>18</v>
      </c>
      <c r="B247" s="1" t="s">
        <v>206</v>
      </c>
      <c r="C247" s="1" t="s">
        <v>584</v>
      </c>
      <c r="D247" s="1" t="s">
        <v>21</v>
      </c>
      <c r="E247">
        <v>52.124299999999998</v>
      </c>
      <c r="F247">
        <v>20.665400000000002</v>
      </c>
      <c r="G247" s="1" t="s">
        <v>31</v>
      </c>
      <c r="H247" s="1" t="s">
        <v>32</v>
      </c>
      <c r="I247" s="1" t="s">
        <v>207</v>
      </c>
      <c r="J247" s="1" t="s">
        <v>45</v>
      </c>
      <c r="K247">
        <v>2</v>
      </c>
      <c r="L247">
        <v>624</v>
      </c>
      <c r="M247">
        <f t="shared" si="3"/>
        <v>1248</v>
      </c>
      <c r="N247" s="1" t="s">
        <v>85</v>
      </c>
      <c r="O247">
        <v>2018</v>
      </c>
      <c r="P247" s="1" t="s">
        <v>103</v>
      </c>
      <c r="Q247" s="1" t="s">
        <v>56</v>
      </c>
      <c r="R247" s="1" t="s">
        <v>57</v>
      </c>
    </row>
    <row r="248" spans="1:18" x14ac:dyDescent="0.25">
      <c r="A248" s="1" t="s">
        <v>18</v>
      </c>
      <c r="B248" s="1" t="s">
        <v>58</v>
      </c>
      <c r="C248" s="1" t="s">
        <v>543</v>
      </c>
      <c r="D248" s="1" t="s">
        <v>21</v>
      </c>
      <c r="E248">
        <v>52.7958</v>
      </c>
      <c r="F248">
        <v>18.261099999999999</v>
      </c>
      <c r="G248" s="1" t="s">
        <v>31</v>
      </c>
      <c r="H248" s="1" t="s">
        <v>32</v>
      </c>
      <c r="I248" s="1" t="s">
        <v>330</v>
      </c>
      <c r="J248" s="1" t="s">
        <v>45</v>
      </c>
      <c r="K248">
        <v>5</v>
      </c>
      <c r="L248">
        <v>113</v>
      </c>
      <c r="M248">
        <f t="shared" si="3"/>
        <v>565</v>
      </c>
      <c r="N248" s="1" t="s">
        <v>26</v>
      </c>
      <c r="O248">
        <v>2018</v>
      </c>
      <c r="P248" s="1" t="s">
        <v>50</v>
      </c>
      <c r="Q248" s="1" t="s">
        <v>28</v>
      </c>
      <c r="R248" s="1" t="s">
        <v>29</v>
      </c>
    </row>
    <row r="249" spans="1:18" x14ac:dyDescent="0.25">
      <c r="A249" s="1" t="s">
        <v>18</v>
      </c>
      <c r="B249" s="1" t="s">
        <v>421</v>
      </c>
      <c r="C249" s="1" t="s">
        <v>624</v>
      </c>
      <c r="D249" s="1" t="s">
        <v>21</v>
      </c>
      <c r="E249">
        <v>51.466700000000003</v>
      </c>
      <c r="F249">
        <v>22.6</v>
      </c>
      <c r="G249" s="1" t="s">
        <v>31</v>
      </c>
      <c r="H249" s="1" t="s">
        <v>38</v>
      </c>
      <c r="I249" s="1" t="s">
        <v>422</v>
      </c>
      <c r="J249" s="1" t="s">
        <v>25</v>
      </c>
      <c r="K249">
        <v>3</v>
      </c>
      <c r="L249">
        <v>542</v>
      </c>
      <c r="M249">
        <f t="shared" si="3"/>
        <v>1626</v>
      </c>
      <c r="N249" s="1" t="s">
        <v>26</v>
      </c>
      <c r="O249">
        <v>2018</v>
      </c>
      <c r="P249" s="1" t="s">
        <v>35</v>
      </c>
      <c r="Q249" s="1" t="s">
        <v>28</v>
      </c>
      <c r="R249" s="1" t="s">
        <v>29</v>
      </c>
    </row>
    <row r="250" spans="1:18" x14ac:dyDescent="0.25">
      <c r="A250" s="1" t="s">
        <v>18</v>
      </c>
      <c r="B250" s="1" t="s">
        <v>337</v>
      </c>
      <c r="C250" s="1" t="s">
        <v>338</v>
      </c>
      <c r="D250" s="1" t="s">
        <v>21</v>
      </c>
      <c r="E250">
        <v>53.735799999999998</v>
      </c>
      <c r="F250">
        <v>18.930800000000001</v>
      </c>
      <c r="G250" s="1" t="s">
        <v>31</v>
      </c>
      <c r="H250" s="1" t="s">
        <v>38</v>
      </c>
      <c r="I250" s="1" t="s">
        <v>113</v>
      </c>
      <c r="J250" s="1" t="s">
        <v>80</v>
      </c>
      <c r="K250">
        <v>4</v>
      </c>
      <c r="L250">
        <v>689</v>
      </c>
      <c r="M250">
        <f t="shared" si="3"/>
        <v>2756</v>
      </c>
      <c r="N250" s="1" t="s">
        <v>149</v>
      </c>
      <c r="O250">
        <v>2018</v>
      </c>
      <c r="P250" s="1" t="s">
        <v>77</v>
      </c>
      <c r="Q250" s="1" t="s">
        <v>56</v>
      </c>
      <c r="R250" s="1" t="s">
        <v>57</v>
      </c>
    </row>
    <row r="251" spans="1:18" x14ac:dyDescent="0.25">
      <c r="A251" s="1" t="s">
        <v>18</v>
      </c>
      <c r="B251" s="1" t="s">
        <v>423</v>
      </c>
      <c r="C251" s="1" t="s">
        <v>424</v>
      </c>
      <c r="D251" s="1" t="s">
        <v>21</v>
      </c>
      <c r="E251">
        <v>54.050400000000003</v>
      </c>
      <c r="F251">
        <v>21.145800000000001</v>
      </c>
      <c r="G251" s="1" t="s">
        <v>22</v>
      </c>
      <c r="H251" s="1" t="s">
        <v>74</v>
      </c>
      <c r="I251" s="1" t="s">
        <v>425</v>
      </c>
      <c r="J251" s="1" t="s">
        <v>45</v>
      </c>
      <c r="K251">
        <v>5</v>
      </c>
      <c r="L251">
        <v>345</v>
      </c>
      <c r="M251">
        <f t="shared" si="3"/>
        <v>1725</v>
      </c>
      <c r="N251" s="1" t="s">
        <v>26</v>
      </c>
      <c r="O251">
        <v>2018</v>
      </c>
      <c r="P251" s="1" t="s">
        <v>81</v>
      </c>
      <c r="Q251" s="1" t="s">
        <v>41</v>
      </c>
      <c r="R251" s="1" t="s">
        <v>42</v>
      </c>
    </row>
    <row r="252" spans="1:18" x14ac:dyDescent="0.25">
      <c r="A252" s="1" t="s">
        <v>18</v>
      </c>
      <c r="B252" s="1" t="s">
        <v>244</v>
      </c>
      <c r="C252" s="1" t="s">
        <v>592</v>
      </c>
      <c r="D252" s="1" t="s">
        <v>21</v>
      </c>
      <c r="E252">
        <v>50.313099999999999</v>
      </c>
      <c r="F252">
        <v>17.374199999999998</v>
      </c>
      <c r="G252" s="1" t="s">
        <v>22</v>
      </c>
      <c r="H252" s="1" t="s">
        <v>74</v>
      </c>
      <c r="I252" s="1" t="s">
        <v>426</v>
      </c>
      <c r="J252" s="1" t="s">
        <v>34</v>
      </c>
      <c r="K252">
        <v>60</v>
      </c>
      <c r="L252">
        <v>153</v>
      </c>
      <c r="M252">
        <f t="shared" si="3"/>
        <v>9180</v>
      </c>
      <c r="N252" s="1" t="s">
        <v>26</v>
      </c>
      <c r="O252">
        <v>2018</v>
      </c>
      <c r="P252" s="1" t="s">
        <v>71</v>
      </c>
      <c r="Q252" s="1" t="s">
        <v>41</v>
      </c>
      <c r="R252" s="1" t="s">
        <v>42</v>
      </c>
    </row>
    <row r="253" spans="1:18" x14ac:dyDescent="0.25">
      <c r="A253" s="1" t="s">
        <v>18</v>
      </c>
      <c r="B253" s="1" t="s">
        <v>412</v>
      </c>
      <c r="C253" s="1" t="s">
        <v>413</v>
      </c>
      <c r="D253" s="1" t="s">
        <v>21</v>
      </c>
      <c r="E253">
        <v>49.989400000000003</v>
      </c>
      <c r="F253">
        <v>20.066099999999999</v>
      </c>
      <c r="G253" s="1" t="s">
        <v>31</v>
      </c>
      <c r="H253" s="1" t="s">
        <v>38</v>
      </c>
      <c r="I253" s="1" t="s">
        <v>427</v>
      </c>
      <c r="J253" s="1" t="s">
        <v>117</v>
      </c>
      <c r="K253">
        <v>2</v>
      </c>
      <c r="L253">
        <v>710</v>
      </c>
      <c r="M253">
        <f t="shared" si="3"/>
        <v>1420</v>
      </c>
      <c r="N253" s="1" t="s">
        <v>26</v>
      </c>
      <c r="O253">
        <v>2018</v>
      </c>
      <c r="P253" s="1" t="s">
        <v>50</v>
      </c>
      <c r="Q253" s="1" t="s">
        <v>28</v>
      </c>
      <c r="R253" s="1" t="s">
        <v>29</v>
      </c>
    </row>
    <row r="254" spans="1:18" x14ac:dyDescent="0.25">
      <c r="A254" s="1" t="s">
        <v>18</v>
      </c>
      <c r="B254" s="1" t="s">
        <v>428</v>
      </c>
      <c r="C254" s="1" t="s">
        <v>429</v>
      </c>
      <c r="D254" s="1" t="s">
        <v>21</v>
      </c>
      <c r="E254">
        <v>54</v>
      </c>
      <c r="F254">
        <v>16.9833</v>
      </c>
      <c r="G254" s="1" t="s">
        <v>22</v>
      </c>
      <c r="H254" s="1" t="s">
        <v>23</v>
      </c>
      <c r="I254" s="1" t="s">
        <v>121</v>
      </c>
      <c r="J254" s="1" t="s">
        <v>117</v>
      </c>
      <c r="K254">
        <v>4</v>
      </c>
      <c r="L254">
        <v>511</v>
      </c>
      <c r="M254">
        <f t="shared" si="3"/>
        <v>2044</v>
      </c>
      <c r="N254" s="1" t="s">
        <v>26</v>
      </c>
      <c r="O254">
        <v>2018</v>
      </c>
      <c r="P254" s="1" t="s">
        <v>35</v>
      </c>
      <c r="Q254" s="1" t="s">
        <v>28</v>
      </c>
      <c r="R254" s="1" t="s">
        <v>29</v>
      </c>
    </row>
    <row r="255" spans="1:18" x14ac:dyDescent="0.25">
      <c r="A255" s="1" t="s">
        <v>18</v>
      </c>
      <c r="B255" s="1" t="s">
        <v>231</v>
      </c>
      <c r="C255" s="1" t="s">
        <v>590</v>
      </c>
      <c r="D255" s="1" t="s">
        <v>21</v>
      </c>
      <c r="E255">
        <v>52.253100000000003</v>
      </c>
      <c r="F255">
        <v>15.9178</v>
      </c>
      <c r="G255" s="1" t="s">
        <v>22</v>
      </c>
      <c r="H255" s="1" t="s">
        <v>23</v>
      </c>
      <c r="I255" s="1" t="s">
        <v>430</v>
      </c>
      <c r="J255" s="1" t="s">
        <v>117</v>
      </c>
      <c r="K255">
        <v>3</v>
      </c>
      <c r="L255">
        <v>74</v>
      </c>
      <c r="M255">
        <f t="shared" si="3"/>
        <v>222</v>
      </c>
      <c r="N255" s="1" t="s">
        <v>26</v>
      </c>
      <c r="O255">
        <v>2018</v>
      </c>
      <c r="P255" s="1" t="s">
        <v>27</v>
      </c>
      <c r="Q255" s="1" t="s">
        <v>28</v>
      </c>
      <c r="R255" s="1" t="s">
        <v>29</v>
      </c>
    </row>
    <row r="256" spans="1:18" x14ac:dyDescent="0.25">
      <c r="A256" s="1" t="s">
        <v>18</v>
      </c>
      <c r="B256" s="1" t="s">
        <v>248</v>
      </c>
      <c r="C256" s="1" t="s">
        <v>593</v>
      </c>
      <c r="D256" s="1" t="s">
        <v>21</v>
      </c>
      <c r="E256">
        <v>53.816699999999997</v>
      </c>
      <c r="F256">
        <v>22.35</v>
      </c>
      <c r="G256" s="1" t="s">
        <v>31</v>
      </c>
      <c r="H256" s="1" t="s">
        <v>32</v>
      </c>
      <c r="I256" s="1" t="s">
        <v>342</v>
      </c>
      <c r="J256" s="1" t="s">
        <v>45</v>
      </c>
      <c r="K256">
        <v>4</v>
      </c>
      <c r="L256">
        <v>445</v>
      </c>
      <c r="M256">
        <f t="shared" si="3"/>
        <v>1780</v>
      </c>
      <c r="N256" s="1" t="s">
        <v>49</v>
      </c>
      <c r="O256">
        <v>2018</v>
      </c>
      <c r="P256" s="1" t="s">
        <v>66</v>
      </c>
      <c r="Q256" s="1" t="s">
        <v>67</v>
      </c>
      <c r="R256" s="1" t="s">
        <v>68</v>
      </c>
    </row>
    <row r="257" spans="1:18" x14ac:dyDescent="0.25">
      <c r="A257" s="1" t="s">
        <v>18</v>
      </c>
      <c r="B257" s="1" t="s">
        <v>323</v>
      </c>
      <c r="C257" s="1" t="s">
        <v>324</v>
      </c>
      <c r="D257" s="1" t="s">
        <v>21</v>
      </c>
      <c r="E257">
        <v>50.059100000000001</v>
      </c>
      <c r="F257">
        <v>22.4941</v>
      </c>
      <c r="G257" s="1" t="s">
        <v>31</v>
      </c>
      <c r="H257" s="1" t="s">
        <v>38</v>
      </c>
      <c r="I257" s="1" t="s">
        <v>431</v>
      </c>
      <c r="J257" s="1" t="s">
        <v>117</v>
      </c>
      <c r="K257">
        <v>2</v>
      </c>
      <c r="L257">
        <v>705</v>
      </c>
      <c r="M257">
        <f t="shared" si="3"/>
        <v>1410</v>
      </c>
      <c r="N257" s="1" t="s">
        <v>156</v>
      </c>
      <c r="O257">
        <v>2018</v>
      </c>
      <c r="P257" s="1" t="s">
        <v>77</v>
      </c>
      <c r="Q257" s="1" t="s">
        <v>56</v>
      </c>
      <c r="R257" s="1" t="s">
        <v>57</v>
      </c>
    </row>
    <row r="258" spans="1:18" x14ac:dyDescent="0.25">
      <c r="A258" s="1" t="s">
        <v>18</v>
      </c>
      <c r="B258" s="1" t="s">
        <v>408</v>
      </c>
      <c r="C258" s="1" t="s">
        <v>409</v>
      </c>
      <c r="D258" s="1" t="s">
        <v>21</v>
      </c>
      <c r="E258">
        <v>54.028500000000001</v>
      </c>
      <c r="F258">
        <v>19.0444</v>
      </c>
      <c r="G258" s="1" t="s">
        <v>22</v>
      </c>
      <c r="H258" s="1" t="s">
        <v>23</v>
      </c>
      <c r="I258" s="1" t="s">
        <v>432</v>
      </c>
      <c r="J258" s="1" t="s">
        <v>34</v>
      </c>
      <c r="K258">
        <v>2</v>
      </c>
      <c r="L258">
        <v>450</v>
      </c>
      <c r="M258">
        <f t="shared" si="3"/>
        <v>900</v>
      </c>
      <c r="N258" s="1" t="s">
        <v>26</v>
      </c>
      <c r="O258">
        <v>2018</v>
      </c>
      <c r="P258" s="1" t="s">
        <v>66</v>
      </c>
      <c r="Q258" s="1" t="s">
        <v>67</v>
      </c>
      <c r="R258" s="1" t="s">
        <v>68</v>
      </c>
    </row>
    <row r="259" spans="1:18" x14ac:dyDescent="0.25">
      <c r="A259" s="1" t="s">
        <v>18</v>
      </c>
      <c r="B259" s="1" t="s">
        <v>297</v>
      </c>
      <c r="C259" s="1" t="s">
        <v>604</v>
      </c>
      <c r="D259" s="1" t="s">
        <v>21</v>
      </c>
      <c r="E259">
        <v>52.083300000000001</v>
      </c>
      <c r="F259">
        <v>16.649999999999999</v>
      </c>
      <c r="G259" s="1" t="s">
        <v>22</v>
      </c>
      <c r="H259" s="1" t="s">
        <v>23</v>
      </c>
      <c r="I259" s="1" t="s">
        <v>433</v>
      </c>
      <c r="J259" s="1" t="s">
        <v>25</v>
      </c>
      <c r="K259">
        <v>4</v>
      </c>
      <c r="L259">
        <v>115</v>
      </c>
      <c r="M259">
        <f t="shared" ref="M259:M322" si="4">SUM(K259*L259)</f>
        <v>460</v>
      </c>
      <c r="N259" s="1" t="s">
        <v>26</v>
      </c>
      <c r="O259">
        <v>2018</v>
      </c>
      <c r="P259" s="1" t="s">
        <v>103</v>
      </c>
      <c r="Q259" s="1" t="s">
        <v>56</v>
      </c>
      <c r="R259" s="1" t="s">
        <v>57</v>
      </c>
    </row>
    <row r="260" spans="1:18" x14ac:dyDescent="0.25">
      <c r="A260" s="1" t="s">
        <v>18</v>
      </c>
      <c r="B260" s="1" t="s">
        <v>434</v>
      </c>
      <c r="C260" s="1" t="s">
        <v>625</v>
      </c>
      <c r="D260" s="1" t="s">
        <v>21</v>
      </c>
      <c r="E260">
        <v>50.687399999999997</v>
      </c>
      <c r="F260">
        <v>16.371700000000001</v>
      </c>
      <c r="G260" s="1" t="s">
        <v>31</v>
      </c>
      <c r="H260" s="1" t="s">
        <v>32</v>
      </c>
      <c r="I260" s="1" t="s">
        <v>435</v>
      </c>
      <c r="J260" s="1" t="s">
        <v>80</v>
      </c>
      <c r="K260">
        <v>3</v>
      </c>
      <c r="L260">
        <v>445</v>
      </c>
      <c r="M260">
        <f t="shared" si="4"/>
        <v>1335</v>
      </c>
      <c r="N260" s="1" t="s">
        <v>26</v>
      </c>
      <c r="O260">
        <v>2018</v>
      </c>
      <c r="P260" s="1" t="s">
        <v>81</v>
      </c>
      <c r="Q260" s="1" t="s">
        <v>41</v>
      </c>
      <c r="R260" s="1" t="s">
        <v>42</v>
      </c>
    </row>
    <row r="261" spans="1:18" x14ac:dyDescent="0.25">
      <c r="A261" s="1" t="s">
        <v>18</v>
      </c>
      <c r="B261" s="1" t="s">
        <v>243</v>
      </c>
      <c r="C261" s="1" t="s">
        <v>591</v>
      </c>
      <c r="D261" s="1" t="s">
        <v>21</v>
      </c>
      <c r="E261">
        <v>53.349200000000003</v>
      </c>
      <c r="F261">
        <v>18.426100000000002</v>
      </c>
      <c r="G261" s="1" t="s">
        <v>22</v>
      </c>
      <c r="H261" s="1" t="s">
        <v>23</v>
      </c>
      <c r="I261" s="1" t="s">
        <v>170</v>
      </c>
      <c r="J261" s="1" t="s">
        <v>25</v>
      </c>
      <c r="K261">
        <v>30</v>
      </c>
      <c r="L261">
        <v>99</v>
      </c>
      <c r="M261">
        <f t="shared" si="4"/>
        <v>2970</v>
      </c>
      <c r="N261" s="1" t="s">
        <v>26</v>
      </c>
      <c r="O261">
        <v>2018</v>
      </c>
      <c r="P261" s="1" t="s">
        <v>81</v>
      </c>
      <c r="Q261" s="1" t="s">
        <v>41</v>
      </c>
      <c r="R261" s="1" t="s">
        <v>42</v>
      </c>
    </row>
    <row r="262" spans="1:18" x14ac:dyDescent="0.25">
      <c r="A262" s="1" t="s">
        <v>18</v>
      </c>
      <c r="B262" s="1" t="s">
        <v>383</v>
      </c>
      <c r="C262" s="1" t="s">
        <v>384</v>
      </c>
      <c r="D262" s="1" t="s">
        <v>21</v>
      </c>
      <c r="E262">
        <v>54.518900000000002</v>
      </c>
      <c r="F262">
        <v>18.5319</v>
      </c>
      <c r="G262" s="1" t="s">
        <v>31</v>
      </c>
      <c r="H262" s="1" t="s">
        <v>32</v>
      </c>
      <c r="I262" s="1" t="s">
        <v>65</v>
      </c>
      <c r="J262" s="1" t="s">
        <v>25</v>
      </c>
      <c r="K262">
        <v>6</v>
      </c>
      <c r="L262">
        <v>551</v>
      </c>
      <c r="M262">
        <f t="shared" si="4"/>
        <v>3306</v>
      </c>
      <c r="N262" s="1" t="s">
        <v>26</v>
      </c>
      <c r="O262">
        <v>2018</v>
      </c>
      <c r="P262" s="1" t="s">
        <v>106</v>
      </c>
      <c r="Q262" s="1" t="s">
        <v>67</v>
      </c>
      <c r="R262" s="1" t="s">
        <v>68</v>
      </c>
    </row>
    <row r="263" spans="1:18" x14ac:dyDescent="0.25">
      <c r="A263" s="1" t="s">
        <v>18</v>
      </c>
      <c r="B263" s="1" t="s">
        <v>363</v>
      </c>
      <c r="C263" s="1" t="s">
        <v>364</v>
      </c>
      <c r="D263" s="1" t="s">
        <v>21</v>
      </c>
      <c r="E263">
        <v>50</v>
      </c>
      <c r="F263">
        <v>19.149999999999999</v>
      </c>
      <c r="G263" s="1" t="s">
        <v>22</v>
      </c>
      <c r="H263" s="1" t="s">
        <v>23</v>
      </c>
      <c r="I263" s="1" t="s">
        <v>79</v>
      </c>
      <c r="J263" s="1" t="s">
        <v>80</v>
      </c>
      <c r="K263">
        <v>5</v>
      </c>
      <c r="L263">
        <v>249</v>
      </c>
      <c r="M263">
        <f t="shared" si="4"/>
        <v>1245</v>
      </c>
      <c r="N263" s="1" t="s">
        <v>26</v>
      </c>
      <c r="O263">
        <v>2018</v>
      </c>
      <c r="P263" s="1" t="s">
        <v>106</v>
      </c>
      <c r="Q263" s="1" t="s">
        <v>67</v>
      </c>
      <c r="R263" s="1" t="s">
        <v>68</v>
      </c>
    </row>
    <row r="264" spans="1:18" x14ac:dyDescent="0.25">
      <c r="A264" s="1" t="s">
        <v>18</v>
      </c>
      <c r="B264" s="1" t="s">
        <v>36</v>
      </c>
      <c r="C264" s="1" t="s">
        <v>37</v>
      </c>
      <c r="D264" s="1" t="s">
        <v>21</v>
      </c>
      <c r="E264">
        <v>50.083300000000001</v>
      </c>
      <c r="F264">
        <v>18.5</v>
      </c>
      <c r="G264" s="1" t="s">
        <v>31</v>
      </c>
      <c r="H264" s="1" t="s">
        <v>38</v>
      </c>
      <c r="I264" s="1" t="s">
        <v>97</v>
      </c>
      <c r="J264" s="1" t="s">
        <v>80</v>
      </c>
      <c r="K264">
        <v>5</v>
      </c>
      <c r="L264">
        <v>288</v>
      </c>
      <c r="M264">
        <f t="shared" si="4"/>
        <v>1440</v>
      </c>
      <c r="N264" s="1" t="s">
        <v>26</v>
      </c>
      <c r="O264">
        <v>2018</v>
      </c>
      <c r="P264" s="1" t="s">
        <v>77</v>
      </c>
      <c r="Q264" s="1" t="s">
        <v>56</v>
      </c>
      <c r="R264" s="1" t="s">
        <v>57</v>
      </c>
    </row>
    <row r="265" spans="1:18" x14ac:dyDescent="0.25">
      <c r="A265" s="1" t="s">
        <v>18</v>
      </c>
      <c r="B265" s="1" t="s">
        <v>436</v>
      </c>
      <c r="C265" s="1" t="s">
        <v>626</v>
      </c>
      <c r="D265" s="1" t="s">
        <v>21</v>
      </c>
      <c r="E265">
        <v>54.55</v>
      </c>
      <c r="F265">
        <v>17.75</v>
      </c>
      <c r="G265" s="1" t="s">
        <v>22</v>
      </c>
      <c r="H265" s="1" t="s">
        <v>23</v>
      </c>
      <c r="I265" s="1" t="s">
        <v>315</v>
      </c>
      <c r="J265" s="1" t="s">
        <v>25</v>
      </c>
      <c r="K265">
        <v>1</v>
      </c>
      <c r="L265">
        <v>334</v>
      </c>
      <c r="M265">
        <f t="shared" si="4"/>
        <v>334</v>
      </c>
      <c r="N265" s="1" t="s">
        <v>26</v>
      </c>
      <c r="O265">
        <v>2018</v>
      </c>
      <c r="P265" s="1" t="s">
        <v>71</v>
      </c>
      <c r="Q265" s="1" t="s">
        <v>41</v>
      </c>
      <c r="R265" s="1" t="s">
        <v>42</v>
      </c>
    </row>
    <row r="266" spans="1:18" x14ac:dyDescent="0.25">
      <c r="A266" s="1" t="s">
        <v>18</v>
      </c>
      <c r="B266" s="1" t="s">
        <v>311</v>
      </c>
      <c r="C266" s="1" t="s">
        <v>312</v>
      </c>
      <c r="D266" s="1" t="s">
        <v>21</v>
      </c>
      <c r="E266">
        <v>49.9833</v>
      </c>
      <c r="F266">
        <v>20.433299999999999</v>
      </c>
      <c r="G266" s="1" t="s">
        <v>31</v>
      </c>
      <c r="H266" s="1" t="s">
        <v>38</v>
      </c>
      <c r="I266" s="1" t="s">
        <v>437</v>
      </c>
      <c r="J266" s="1" t="s">
        <v>80</v>
      </c>
      <c r="K266">
        <v>2</v>
      </c>
      <c r="L266">
        <v>47</v>
      </c>
      <c r="M266">
        <f t="shared" si="4"/>
        <v>94</v>
      </c>
      <c r="N266" s="1" t="s">
        <v>26</v>
      </c>
      <c r="O266">
        <v>2018</v>
      </c>
      <c r="P266" s="1" t="s">
        <v>60</v>
      </c>
      <c r="Q266" s="1" t="s">
        <v>28</v>
      </c>
      <c r="R266" s="1" t="s">
        <v>29</v>
      </c>
    </row>
    <row r="267" spans="1:18" x14ac:dyDescent="0.25">
      <c r="A267" s="1" t="s">
        <v>18</v>
      </c>
      <c r="B267" s="1" t="s">
        <v>298</v>
      </c>
      <c r="C267" s="1" t="s">
        <v>299</v>
      </c>
      <c r="D267" s="1" t="s">
        <v>21</v>
      </c>
      <c r="E267">
        <v>50.872500000000002</v>
      </c>
      <c r="F267">
        <v>20.631900000000002</v>
      </c>
      <c r="G267" s="1" t="s">
        <v>31</v>
      </c>
      <c r="H267" s="1" t="s">
        <v>38</v>
      </c>
      <c r="I267" s="1" t="s">
        <v>75</v>
      </c>
      <c r="J267" s="1" t="s">
        <v>25</v>
      </c>
      <c r="K267">
        <v>5</v>
      </c>
      <c r="L267">
        <v>762</v>
      </c>
      <c r="M267">
        <f t="shared" si="4"/>
        <v>3810</v>
      </c>
      <c r="N267" s="1" t="s">
        <v>26</v>
      </c>
      <c r="O267">
        <v>2018</v>
      </c>
      <c r="P267" s="1" t="s">
        <v>50</v>
      </c>
      <c r="Q267" s="1" t="s">
        <v>28</v>
      </c>
      <c r="R267" s="1" t="s">
        <v>29</v>
      </c>
    </row>
    <row r="268" spans="1:18" x14ac:dyDescent="0.25">
      <c r="A268" s="1" t="s">
        <v>18</v>
      </c>
      <c r="B268" s="1" t="s">
        <v>120</v>
      </c>
      <c r="C268" s="1" t="s">
        <v>559</v>
      </c>
      <c r="D268" s="1" t="s">
        <v>21</v>
      </c>
      <c r="E268">
        <v>50.1556</v>
      </c>
      <c r="F268">
        <v>23.123000000000001</v>
      </c>
      <c r="G268" s="1" t="s">
        <v>31</v>
      </c>
      <c r="H268" s="1" t="s">
        <v>38</v>
      </c>
      <c r="I268" s="1" t="s">
        <v>202</v>
      </c>
      <c r="J268" s="1" t="s">
        <v>34</v>
      </c>
      <c r="K268">
        <v>6</v>
      </c>
      <c r="L268">
        <v>497</v>
      </c>
      <c r="M268">
        <f t="shared" si="4"/>
        <v>2982</v>
      </c>
      <c r="N268" s="1" t="s">
        <v>26</v>
      </c>
      <c r="O268">
        <v>2018</v>
      </c>
      <c r="P268" s="1" t="s">
        <v>66</v>
      </c>
      <c r="Q268" s="1" t="s">
        <v>67</v>
      </c>
      <c r="R268" s="1" t="s">
        <v>68</v>
      </c>
    </row>
    <row r="269" spans="1:18" x14ac:dyDescent="0.25">
      <c r="A269" s="1" t="s">
        <v>18</v>
      </c>
      <c r="B269" s="1" t="s">
        <v>260</v>
      </c>
      <c r="C269" s="1" t="s">
        <v>261</v>
      </c>
      <c r="D269" s="1" t="s">
        <v>21</v>
      </c>
      <c r="E269">
        <v>54.566699999999997</v>
      </c>
      <c r="F269">
        <v>18.399999999999999</v>
      </c>
      <c r="G269" s="1" t="s">
        <v>31</v>
      </c>
      <c r="H269" s="1" t="s">
        <v>32</v>
      </c>
      <c r="I269" s="1" t="s">
        <v>262</v>
      </c>
      <c r="J269" s="1" t="s">
        <v>80</v>
      </c>
      <c r="K269">
        <v>6</v>
      </c>
      <c r="L269">
        <v>655</v>
      </c>
      <c r="M269">
        <f t="shared" si="4"/>
        <v>3930</v>
      </c>
      <c r="N269" s="1" t="s">
        <v>26</v>
      </c>
      <c r="O269">
        <v>2018</v>
      </c>
      <c r="P269" s="1" t="s">
        <v>81</v>
      </c>
      <c r="Q269" s="1" t="s">
        <v>41</v>
      </c>
      <c r="R269" s="1" t="s">
        <v>42</v>
      </c>
    </row>
    <row r="270" spans="1:18" x14ac:dyDescent="0.25">
      <c r="A270" s="1" t="s">
        <v>18</v>
      </c>
      <c r="B270" s="1" t="s">
        <v>91</v>
      </c>
      <c r="C270" s="1" t="s">
        <v>549</v>
      </c>
      <c r="D270" s="1" t="s">
        <v>21</v>
      </c>
      <c r="E270">
        <v>50.15</v>
      </c>
      <c r="F270">
        <v>18.833300000000001</v>
      </c>
      <c r="G270" s="1" t="s">
        <v>22</v>
      </c>
      <c r="H270" s="1" t="s">
        <v>23</v>
      </c>
      <c r="I270" s="1" t="s">
        <v>355</v>
      </c>
      <c r="J270" s="1" t="s">
        <v>117</v>
      </c>
      <c r="K270">
        <v>5</v>
      </c>
      <c r="L270">
        <v>420</v>
      </c>
      <c r="M270">
        <f t="shared" si="4"/>
        <v>2100</v>
      </c>
      <c r="N270" s="1" t="s">
        <v>26</v>
      </c>
      <c r="O270">
        <v>2018</v>
      </c>
      <c r="P270" s="1" t="s">
        <v>35</v>
      </c>
      <c r="Q270" s="1" t="s">
        <v>28</v>
      </c>
      <c r="R270" s="1" t="s">
        <v>29</v>
      </c>
    </row>
    <row r="271" spans="1:18" x14ac:dyDescent="0.25">
      <c r="A271" s="1" t="s">
        <v>18</v>
      </c>
      <c r="B271" s="1" t="s">
        <v>273</v>
      </c>
      <c r="C271" s="1" t="s">
        <v>274</v>
      </c>
      <c r="D271" s="1" t="s">
        <v>21</v>
      </c>
      <c r="E271">
        <v>52.7667</v>
      </c>
      <c r="F271">
        <v>23.2</v>
      </c>
      <c r="G271" s="1" t="s">
        <v>22</v>
      </c>
      <c r="H271" s="1" t="s">
        <v>74</v>
      </c>
      <c r="I271" s="1" t="s">
        <v>131</v>
      </c>
      <c r="J271" s="1" t="s">
        <v>117</v>
      </c>
      <c r="K271">
        <v>3</v>
      </c>
      <c r="L271">
        <v>164</v>
      </c>
      <c r="M271">
        <f t="shared" si="4"/>
        <v>492</v>
      </c>
      <c r="N271" s="1" t="s">
        <v>26</v>
      </c>
      <c r="O271">
        <v>2018</v>
      </c>
      <c r="P271" s="1" t="s">
        <v>71</v>
      </c>
      <c r="Q271" s="1" t="s">
        <v>41</v>
      </c>
      <c r="R271" s="1" t="s">
        <v>42</v>
      </c>
    </row>
    <row r="272" spans="1:18" x14ac:dyDescent="0.25">
      <c r="A272" s="1" t="s">
        <v>18</v>
      </c>
      <c r="B272" s="1" t="s">
        <v>86</v>
      </c>
      <c r="C272" s="1" t="s">
        <v>547</v>
      </c>
      <c r="D272" s="1" t="s">
        <v>21</v>
      </c>
      <c r="E272">
        <v>54.366700000000002</v>
      </c>
      <c r="F272">
        <v>18.633299999999998</v>
      </c>
      <c r="G272" s="1" t="s">
        <v>31</v>
      </c>
      <c r="H272" s="1" t="s">
        <v>32</v>
      </c>
      <c r="I272" s="1" t="s">
        <v>307</v>
      </c>
      <c r="J272" s="1" t="s">
        <v>80</v>
      </c>
      <c r="K272">
        <v>5</v>
      </c>
      <c r="L272">
        <v>535</v>
      </c>
      <c r="M272">
        <f t="shared" si="4"/>
        <v>2675</v>
      </c>
      <c r="N272" s="1" t="s">
        <v>26</v>
      </c>
      <c r="O272">
        <v>2018</v>
      </c>
      <c r="P272" s="1" t="s">
        <v>66</v>
      </c>
      <c r="Q272" s="1" t="s">
        <v>67</v>
      </c>
      <c r="R272" s="1" t="s">
        <v>68</v>
      </c>
    </row>
    <row r="273" spans="1:18" x14ac:dyDescent="0.25">
      <c r="A273" s="1" t="s">
        <v>18</v>
      </c>
      <c r="B273" s="1" t="s">
        <v>304</v>
      </c>
      <c r="C273" s="1" t="s">
        <v>606</v>
      </c>
      <c r="D273" s="1" t="s">
        <v>21</v>
      </c>
      <c r="E273">
        <v>51.8</v>
      </c>
      <c r="F273">
        <v>15.716699999999999</v>
      </c>
      <c r="G273" s="1" t="s">
        <v>31</v>
      </c>
      <c r="H273" s="1" t="s">
        <v>38</v>
      </c>
      <c r="I273" s="1" t="s">
        <v>438</v>
      </c>
      <c r="J273" s="1" t="s">
        <v>117</v>
      </c>
      <c r="K273">
        <v>1</v>
      </c>
      <c r="L273">
        <v>104</v>
      </c>
      <c r="M273">
        <f t="shared" si="4"/>
        <v>104</v>
      </c>
      <c r="N273" s="1" t="s">
        <v>26</v>
      </c>
      <c r="O273">
        <v>2018</v>
      </c>
      <c r="P273" s="1" t="s">
        <v>66</v>
      </c>
      <c r="Q273" s="1" t="s">
        <v>67</v>
      </c>
      <c r="R273" s="1" t="s">
        <v>68</v>
      </c>
    </row>
    <row r="274" spans="1:18" x14ac:dyDescent="0.25">
      <c r="A274" s="1" t="s">
        <v>18</v>
      </c>
      <c r="B274" s="1" t="s">
        <v>263</v>
      </c>
      <c r="C274" s="1" t="s">
        <v>264</v>
      </c>
      <c r="D274" s="1" t="s">
        <v>21</v>
      </c>
      <c r="E274">
        <v>52.2333</v>
      </c>
      <c r="F274">
        <v>19.366700000000002</v>
      </c>
      <c r="G274" s="1" t="s">
        <v>31</v>
      </c>
      <c r="H274" s="1" t="s">
        <v>32</v>
      </c>
      <c r="I274" s="1" t="s">
        <v>368</v>
      </c>
      <c r="J274" s="1" t="s">
        <v>117</v>
      </c>
      <c r="K274">
        <v>3</v>
      </c>
      <c r="L274">
        <v>377</v>
      </c>
      <c r="M274">
        <f t="shared" si="4"/>
        <v>1131</v>
      </c>
      <c r="N274" s="1" t="s">
        <v>26</v>
      </c>
      <c r="O274">
        <v>2018</v>
      </c>
      <c r="P274" s="1" t="s">
        <v>40</v>
      </c>
      <c r="Q274" s="1" t="s">
        <v>41</v>
      </c>
      <c r="R274" s="1" t="s">
        <v>42</v>
      </c>
    </row>
    <row r="275" spans="1:18" x14ac:dyDescent="0.25">
      <c r="A275" s="1" t="s">
        <v>18</v>
      </c>
      <c r="B275" s="1" t="s">
        <v>439</v>
      </c>
      <c r="C275" s="1" t="s">
        <v>627</v>
      </c>
      <c r="D275" s="1" t="s">
        <v>21</v>
      </c>
      <c r="E275">
        <v>50.200899999999997</v>
      </c>
      <c r="F275">
        <v>17.828600000000002</v>
      </c>
      <c r="G275" s="1" t="s">
        <v>31</v>
      </c>
      <c r="H275" s="1" t="s">
        <v>38</v>
      </c>
      <c r="I275" s="1" t="s">
        <v>440</v>
      </c>
      <c r="J275" s="1" t="s">
        <v>117</v>
      </c>
      <c r="K275">
        <v>1</v>
      </c>
      <c r="L275">
        <v>402</v>
      </c>
      <c r="M275">
        <f t="shared" si="4"/>
        <v>402</v>
      </c>
      <c r="N275" s="1" t="s">
        <v>26</v>
      </c>
      <c r="O275">
        <v>2018</v>
      </c>
      <c r="P275" s="1" t="s">
        <v>40</v>
      </c>
      <c r="Q275" s="1" t="s">
        <v>41</v>
      </c>
      <c r="R275" s="1" t="s">
        <v>42</v>
      </c>
    </row>
    <row r="276" spans="1:18" x14ac:dyDescent="0.25">
      <c r="A276" s="1" t="s">
        <v>18</v>
      </c>
      <c r="B276" s="1" t="s">
        <v>380</v>
      </c>
      <c r="C276" s="1" t="s">
        <v>381</v>
      </c>
      <c r="D276" s="1" t="s">
        <v>21</v>
      </c>
      <c r="E276">
        <v>51.273000000000003</v>
      </c>
      <c r="F276">
        <v>16.708100000000002</v>
      </c>
      <c r="G276" s="1" t="s">
        <v>22</v>
      </c>
      <c r="H276" s="1" t="s">
        <v>23</v>
      </c>
      <c r="I276" s="1" t="s">
        <v>39</v>
      </c>
      <c r="J276" s="1" t="s">
        <v>34</v>
      </c>
      <c r="K276">
        <v>2</v>
      </c>
      <c r="L276">
        <v>66</v>
      </c>
      <c r="M276">
        <f t="shared" si="4"/>
        <v>132</v>
      </c>
      <c r="N276" s="1" t="s">
        <v>26</v>
      </c>
      <c r="O276">
        <v>2018</v>
      </c>
      <c r="P276" s="1" t="s">
        <v>35</v>
      </c>
      <c r="Q276" s="1" t="s">
        <v>28</v>
      </c>
      <c r="R276" s="1" t="s">
        <v>29</v>
      </c>
    </row>
    <row r="277" spans="1:18" x14ac:dyDescent="0.25">
      <c r="A277" s="1" t="s">
        <v>18</v>
      </c>
      <c r="B277" s="1" t="s">
        <v>150</v>
      </c>
      <c r="C277" s="1" t="s">
        <v>569</v>
      </c>
      <c r="D277" s="1" t="s">
        <v>21</v>
      </c>
      <c r="E277">
        <v>54.166699999999999</v>
      </c>
      <c r="F277">
        <v>19.399999999999999</v>
      </c>
      <c r="G277" s="1" t="s">
        <v>31</v>
      </c>
      <c r="H277" s="1" t="s">
        <v>38</v>
      </c>
      <c r="I277" s="1" t="s">
        <v>251</v>
      </c>
      <c r="J277" s="1" t="s">
        <v>80</v>
      </c>
      <c r="K277">
        <v>6</v>
      </c>
      <c r="L277">
        <v>647</v>
      </c>
      <c r="M277">
        <f t="shared" si="4"/>
        <v>3882</v>
      </c>
      <c r="N277" s="1" t="s">
        <v>26</v>
      </c>
      <c r="O277">
        <v>2018</v>
      </c>
      <c r="P277" s="1" t="s">
        <v>103</v>
      </c>
      <c r="Q277" s="1" t="s">
        <v>56</v>
      </c>
      <c r="R277" s="1" t="s">
        <v>57</v>
      </c>
    </row>
    <row r="278" spans="1:18" x14ac:dyDescent="0.25">
      <c r="A278" s="1" t="s">
        <v>18</v>
      </c>
      <c r="B278" s="1" t="s">
        <v>114</v>
      </c>
      <c r="C278" s="1" t="s">
        <v>556</v>
      </c>
      <c r="D278" s="1" t="s">
        <v>21</v>
      </c>
      <c r="E278">
        <v>52.183300000000003</v>
      </c>
      <c r="F278">
        <v>20.85</v>
      </c>
      <c r="G278" s="1" t="s">
        <v>22</v>
      </c>
      <c r="H278" s="1" t="s">
        <v>23</v>
      </c>
      <c r="I278" s="1" t="s">
        <v>441</v>
      </c>
      <c r="J278" s="1" t="s">
        <v>88</v>
      </c>
      <c r="K278">
        <v>2</v>
      </c>
      <c r="L278">
        <v>487</v>
      </c>
      <c r="M278">
        <f t="shared" si="4"/>
        <v>974</v>
      </c>
      <c r="N278" s="1" t="s">
        <v>26</v>
      </c>
      <c r="O278">
        <v>2018</v>
      </c>
      <c r="P278" s="1" t="s">
        <v>50</v>
      </c>
      <c r="Q278" s="1" t="s">
        <v>28</v>
      </c>
      <c r="R278" s="1" t="s">
        <v>29</v>
      </c>
    </row>
    <row r="279" spans="1:18" x14ac:dyDescent="0.25">
      <c r="A279" s="1" t="s">
        <v>18</v>
      </c>
      <c r="B279" s="1" t="s">
        <v>206</v>
      </c>
      <c r="C279" s="1" t="s">
        <v>584</v>
      </c>
      <c r="D279" s="1" t="s">
        <v>21</v>
      </c>
      <c r="E279">
        <v>52.124299999999998</v>
      </c>
      <c r="F279">
        <v>20.665400000000002</v>
      </c>
      <c r="G279" s="1" t="s">
        <v>31</v>
      </c>
      <c r="H279" s="1" t="s">
        <v>32</v>
      </c>
      <c r="I279" s="1" t="s">
        <v>442</v>
      </c>
      <c r="J279" s="1" t="s">
        <v>45</v>
      </c>
      <c r="K279">
        <v>2</v>
      </c>
      <c r="L279">
        <v>323</v>
      </c>
      <c r="M279">
        <f t="shared" si="4"/>
        <v>646</v>
      </c>
      <c r="N279" s="1" t="s">
        <v>26</v>
      </c>
      <c r="O279">
        <v>2018</v>
      </c>
      <c r="P279" s="1" t="s">
        <v>77</v>
      </c>
      <c r="Q279" s="1" t="s">
        <v>56</v>
      </c>
      <c r="R279" s="1" t="s">
        <v>57</v>
      </c>
    </row>
    <row r="280" spans="1:18" x14ac:dyDescent="0.25">
      <c r="A280" s="1" t="s">
        <v>18</v>
      </c>
      <c r="B280" s="1" t="s">
        <v>443</v>
      </c>
      <c r="C280" s="1" t="s">
        <v>444</v>
      </c>
      <c r="D280" s="1" t="s">
        <v>21</v>
      </c>
      <c r="E280">
        <v>52.216700000000003</v>
      </c>
      <c r="F280">
        <v>21.033300000000001</v>
      </c>
      <c r="G280" s="1" t="s">
        <v>31</v>
      </c>
      <c r="H280" s="1" t="s">
        <v>32</v>
      </c>
      <c r="I280" s="1" t="s">
        <v>62</v>
      </c>
      <c r="J280" s="1" t="s">
        <v>25</v>
      </c>
      <c r="K280">
        <v>2</v>
      </c>
      <c r="L280">
        <v>742</v>
      </c>
      <c r="M280">
        <f t="shared" si="4"/>
        <v>1484</v>
      </c>
      <c r="N280" s="1" t="s">
        <v>26</v>
      </c>
      <c r="O280">
        <v>2018</v>
      </c>
      <c r="P280" s="1" t="s">
        <v>95</v>
      </c>
      <c r="Q280" s="1" t="s">
        <v>67</v>
      </c>
      <c r="R280" s="1" t="s">
        <v>68</v>
      </c>
    </row>
    <row r="281" spans="1:18" x14ac:dyDescent="0.25">
      <c r="A281" s="1" t="s">
        <v>18</v>
      </c>
      <c r="B281" s="1" t="s">
        <v>383</v>
      </c>
      <c r="C281" s="1" t="s">
        <v>384</v>
      </c>
      <c r="D281" s="1" t="s">
        <v>21</v>
      </c>
      <c r="E281">
        <v>54.518900000000002</v>
      </c>
      <c r="F281">
        <v>18.5319</v>
      </c>
      <c r="G281" s="1" t="s">
        <v>31</v>
      </c>
      <c r="H281" s="1" t="s">
        <v>32</v>
      </c>
      <c r="I281" s="1" t="s">
        <v>355</v>
      </c>
      <c r="J281" s="1" t="s">
        <v>117</v>
      </c>
      <c r="K281">
        <v>30</v>
      </c>
      <c r="L281">
        <v>420</v>
      </c>
      <c r="M281">
        <f t="shared" si="4"/>
        <v>12600</v>
      </c>
      <c r="N281" s="1" t="s">
        <v>26</v>
      </c>
      <c r="O281">
        <v>2018</v>
      </c>
      <c r="P281" s="1" t="s">
        <v>27</v>
      </c>
      <c r="Q281" s="1" t="s">
        <v>28</v>
      </c>
      <c r="R281" s="1" t="s">
        <v>29</v>
      </c>
    </row>
    <row r="282" spans="1:18" x14ac:dyDescent="0.25">
      <c r="A282" s="1" t="s">
        <v>18</v>
      </c>
      <c r="B282" s="1" t="s">
        <v>281</v>
      </c>
      <c r="C282" s="1" t="s">
        <v>600</v>
      </c>
      <c r="D282" s="1" t="s">
        <v>21</v>
      </c>
      <c r="E282">
        <v>51.030799999999999</v>
      </c>
      <c r="F282">
        <v>15.420199999999999</v>
      </c>
      <c r="G282" s="1" t="s">
        <v>22</v>
      </c>
      <c r="H282" s="1" t="s">
        <v>23</v>
      </c>
      <c r="I282" s="1" t="s">
        <v>396</v>
      </c>
      <c r="J282" s="1" t="s">
        <v>45</v>
      </c>
      <c r="K282">
        <v>2</v>
      </c>
      <c r="L282">
        <v>578</v>
      </c>
      <c r="M282">
        <f t="shared" si="4"/>
        <v>1156</v>
      </c>
      <c r="N282" s="1" t="s">
        <v>26</v>
      </c>
      <c r="O282">
        <v>2018</v>
      </c>
      <c r="P282" s="1" t="s">
        <v>106</v>
      </c>
      <c r="Q282" s="1" t="s">
        <v>67</v>
      </c>
      <c r="R282" s="1" t="s">
        <v>68</v>
      </c>
    </row>
    <row r="283" spans="1:18" x14ac:dyDescent="0.25">
      <c r="A283" s="1" t="s">
        <v>18</v>
      </c>
      <c r="B283" s="1" t="s">
        <v>439</v>
      </c>
      <c r="C283" s="1" t="s">
        <v>627</v>
      </c>
      <c r="D283" s="1" t="s">
        <v>21</v>
      </c>
      <c r="E283">
        <v>50.200899999999997</v>
      </c>
      <c r="F283">
        <v>17.828600000000002</v>
      </c>
      <c r="G283" s="1" t="s">
        <v>31</v>
      </c>
      <c r="H283" s="1" t="s">
        <v>38</v>
      </c>
      <c r="I283" s="1" t="s">
        <v>445</v>
      </c>
      <c r="J283" s="1" t="s">
        <v>25</v>
      </c>
      <c r="K283">
        <v>2</v>
      </c>
      <c r="L283">
        <v>682</v>
      </c>
      <c r="M283">
        <f t="shared" si="4"/>
        <v>1364</v>
      </c>
      <c r="N283" s="1" t="s">
        <v>26</v>
      </c>
      <c r="O283">
        <v>2018</v>
      </c>
      <c r="P283" s="1" t="s">
        <v>106</v>
      </c>
      <c r="Q283" s="1" t="s">
        <v>67</v>
      </c>
      <c r="R283" s="1" t="s">
        <v>68</v>
      </c>
    </row>
    <row r="284" spans="1:18" x14ac:dyDescent="0.25">
      <c r="A284" s="1" t="s">
        <v>18</v>
      </c>
      <c r="B284" s="1" t="s">
        <v>434</v>
      </c>
      <c r="C284" s="1" t="s">
        <v>625</v>
      </c>
      <c r="D284" s="1" t="s">
        <v>21</v>
      </c>
      <c r="E284">
        <v>50.687399999999997</v>
      </c>
      <c r="F284">
        <v>16.371700000000001</v>
      </c>
      <c r="G284" s="1" t="s">
        <v>31</v>
      </c>
      <c r="H284" s="1" t="s">
        <v>32</v>
      </c>
      <c r="I284" s="1" t="s">
        <v>334</v>
      </c>
      <c r="J284" s="1" t="s">
        <v>80</v>
      </c>
      <c r="K284">
        <v>2</v>
      </c>
      <c r="L284">
        <v>345</v>
      </c>
      <c r="M284">
        <f t="shared" si="4"/>
        <v>690</v>
      </c>
      <c r="N284" s="1" t="s">
        <v>26</v>
      </c>
      <c r="O284">
        <v>2018</v>
      </c>
      <c r="P284" s="1" t="s">
        <v>95</v>
      </c>
      <c r="Q284" s="1" t="s">
        <v>67</v>
      </c>
      <c r="R284" s="1" t="s">
        <v>68</v>
      </c>
    </row>
    <row r="285" spans="1:18" x14ac:dyDescent="0.25">
      <c r="A285" s="1" t="s">
        <v>18</v>
      </c>
      <c r="B285" s="1" t="s">
        <v>446</v>
      </c>
      <c r="C285" s="1" t="s">
        <v>447</v>
      </c>
      <c r="D285" s="1" t="s">
        <v>21</v>
      </c>
      <c r="E285">
        <v>49.4833</v>
      </c>
      <c r="F285">
        <v>20.033300000000001</v>
      </c>
      <c r="G285" s="1" t="s">
        <v>31</v>
      </c>
      <c r="H285" s="1" t="s">
        <v>38</v>
      </c>
      <c r="I285" s="1" t="s">
        <v>448</v>
      </c>
      <c r="J285" s="1" t="s">
        <v>88</v>
      </c>
      <c r="K285">
        <v>34</v>
      </c>
      <c r="L285">
        <v>390</v>
      </c>
      <c r="M285">
        <f t="shared" si="4"/>
        <v>13260</v>
      </c>
      <c r="N285" s="1" t="s">
        <v>26</v>
      </c>
      <c r="O285">
        <v>2018</v>
      </c>
      <c r="P285" s="1" t="s">
        <v>27</v>
      </c>
      <c r="Q285" s="1" t="s">
        <v>28</v>
      </c>
      <c r="R285" s="1" t="s">
        <v>29</v>
      </c>
    </row>
    <row r="286" spans="1:18" x14ac:dyDescent="0.25">
      <c r="A286" s="1" t="s">
        <v>18</v>
      </c>
      <c r="B286" s="1" t="s">
        <v>248</v>
      </c>
      <c r="C286" s="1" t="s">
        <v>593</v>
      </c>
      <c r="D286" s="1" t="s">
        <v>21</v>
      </c>
      <c r="E286">
        <v>53.816699999999997</v>
      </c>
      <c r="F286">
        <v>22.35</v>
      </c>
      <c r="G286" s="1" t="s">
        <v>31</v>
      </c>
      <c r="H286" s="1" t="s">
        <v>32</v>
      </c>
      <c r="I286" s="1" t="s">
        <v>163</v>
      </c>
      <c r="J286" s="1" t="s">
        <v>117</v>
      </c>
      <c r="K286">
        <v>20</v>
      </c>
      <c r="L286">
        <v>482</v>
      </c>
      <c r="M286">
        <f t="shared" si="4"/>
        <v>9640</v>
      </c>
      <c r="N286" s="1" t="s">
        <v>26</v>
      </c>
      <c r="O286">
        <v>2018</v>
      </c>
      <c r="P286" s="1" t="s">
        <v>40</v>
      </c>
      <c r="Q286" s="1" t="s">
        <v>41</v>
      </c>
      <c r="R286" s="1" t="s">
        <v>42</v>
      </c>
    </row>
    <row r="287" spans="1:18" x14ac:dyDescent="0.25">
      <c r="A287" s="1" t="s">
        <v>18</v>
      </c>
      <c r="B287" s="1" t="s">
        <v>231</v>
      </c>
      <c r="C287" s="1" t="s">
        <v>590</v>
      </c>
      <c r="D287" s="1" t="s">
        <v>21</v>
      </c>
      <c r="E287">
        <v>52.253100000000003</v>
      </c>
      <c r="F287">
        <v>15.9178</v>
      </c>
      <c r="G287" s="1" t="s">
        <v>22</v>
      </c>
      <c r="H287" s="1" t="s">
        <v>23</v>
      </c>
      <c r="I287" s="1" t="s">
        <v>391</v>
      </c>
      <c r="J287" s="1" t="s">
        <v>80</v>
      </c>
      <c r="K287">
        <v>2</v>
      </c>
      <c r="L287">
        <v>634</v>
      </c>
      <c r="M287">
        <f t="shared" si="4"/>
        <v>1268</v>
      </c>
      <c r="N287" s="1" t="s">
        <v>26</v>
      </c>
      <c r="O287">
        <v>2018</v>
      </c>
      <c r="P287" s="1" t="s">
        <v>50</v>
      </c>
      <c r="Q287" s="1" t="s">
        <v>28</v>
      </c>
      <c r="R287" s="1" t="s">
        <v>29</v>
      </c>
    </row>
    <row r="288" spans="1:18" x14ac:dyDescent="0.25">
      <c r="A288" s="1" t="s">
        <v>18</v>
      </c>
      <c r="B288" s="1" t="s">
        <v>362</v>
      </c>
      <c r="C288" s="1" t="s">
        <v>615</v>
      </c>
      <c r="D288" s="1" t="s">
        <v>21</v>
      </c>
      <c r="E288">
        <v>52.588299999999997</v>
      </c>
      <c r="F288">
        <v>14.666700000000001</v>
      </c>
      <c r="G288" s="1" t="s">
        <v>22</v>
      </c>
      <c r="H288" s="1" t="s">
        <v>74</v>
      </c>
      <c r="I288" s="1" t="s">
        <v>137</v>
      </c>
      <c r="J288" s="1" t="s">
        <v>45</v>
      </c>
      <c r="K288">
        <v>2</v>
      </c>
      <c r="L288">
        <v>26</v>
      </c>
      <c r="M288">
        <f t="shared" si="4"/>
        <v>52</v>
      </c>
      <c r="N288" s="1" t="s">
        <v>26</v>
      </c>
      <c r="O288">
        <v>2018</v>
      </c>
      <c r="P288" s="1" t="s">
        <v>60</v>
      </c>
      <c r="Q288" s="1" t="s">
        <v>28</v>
      </c>
      <c r="R288" s="1" t="s">
        <v>29</v>
      </c>
    </row>
    <row r="289" spans="1:18" x14ac:dyDescent="0.25">
      <c r="A289" s="1" t="s">
        <v>18</v>
      </c>
      <c r="B289" s="1" t="s">
        <v>263</v>
      </c>
      <c r="C289" s="1" t="s">
        <v>264</v>
      </c>
      <c r="D289" s="1" t="s">
        <v>21</v>
      </c>
      <c r="E289">
        <v>52.2333</v>
      </c>
      <c r="F289">
        <v>19.366700000000002</v>
      </c>
      <c r="G289" s="1" t="s">
        <v>31</v>
      </c>
      <c r="H289" s="1" t="s">
        <v>32</v>
      </c>
      <c r="I289" s="1" t="s">
        <v>302</v>
      </c>
      <c r="J289" s="1" t="s">
        <v>117</v>
      </c>
      <c r="K289">
        <v>6</v>
      </c>
      <c r="L289">
        <v>187</v>
      </c>
      <c r="M289">
        <f t="shared" si="4"/>
        <v>1122</v>
      </c>
      <c r="N289" s="1" t="s">
        <v>26</v>
      </c>
      <c r="O289">
        <v>2018</v>
      </c>
      <c r="P289" s="1" t="s">
        <v>27</v>
      </c>
      <c r="Q289" s="1" t="s">
        <v>28</v>
      </c>
      <c r="R289" s="1" t="s">
        <v>29</v>
      </c>
    </row>
    <row r="290" spans="1:18" x14ac:dyDescent="0.25">
      <c r="A290" s="1" t="s">
        <v>18</v>
      </c>
      <c r="B290" s="1" t="s">
        <v>449</v>
      </c>
      <c r="C290" s="1" t="s">
        <v>628</v>
      </c>
      <c r="D290" s="1" t="s">
        <v>21</v>
      </c>
      <c r="E290">
        <v>52.444600000000001</v>
      </c>
      <c r="F290">
        <v>15.577999999999999</v>
      </c>
      <c r="G290" s="1" t="s">
        <v>31</v>
      </c>
      <c r="H290" s="1" t="s">
        <v>38</v>
      </c>
      <c r="I290" s="1" t="s">
        <v>450</v>
      </c>
      <c r="J290" s="1" t="s">
        <v>45</v>
      </c>
      <c r="K290">
        <v>2</v>
      </c>
      <c r="L290">
        <v>555</v>
      </c>
      <c r="M290">
        <f t="shared" si="4"/>
        <v>1110</v>
      </c>
      <c r="N290" s="1" t="s">
        <v>26</v>
      </c>
      <c r="O290">
        <v>2018</v>
      </c>
      <c r="P290" s="1" t="s">
        <v>40</v>
      </c>
      <c r="Q290" s="1" t="s">
        <v>41</v>
      </c>
      <c r="R290" s="1" t="s">
        <v>42</v>
      </c>
    </row>
    <row r="291" spans="1:18" x14ac:dyDescent="0.25">
      <c r="A291" s="1" t="s">
        <v>18</v>
      </c>
      <c r="B291" s="1" t="s">
        <v>199</v>
      </c>
      <c r="C291" s="1" t="s">
        <v>582</v>
      </c>
      <c r="D291" s="1" t="s">
        <v>21</v>
      </c>
      <c r="E291">
        <v>52.2453</v>
      </c>
      <c r="F291">
        <v>19.6236</v>
      </c>
      <c r="G291" s="1" t="s">
        <v>22</v>
      </c>
      <c r="H291" s="1" t="s">
        <v>74</v>
      </c>
      <c r="I291" s="1" t="s">
        <v>39</v>
      </c>
      <c r="J291" s="1" t="s">
        <v>34</v>
      </c>
      <c r="K291">
        <v>2</v>
      </c>
      <c r="L291">
        <v>66</v>
      </c>
      <c r="M291">
        <f t="shared" si="4"/>
        <v>132</v>
      </c>
      <c r="N291" s="1" t="s">
        <v>26</v>
      </c>
      <c r="O291">
        <v>2018</v>
      </c>
      <c r="P291" s="1" t="s">
        <v>27</v>
      </c>
      <c r="Q291" s="1" t="s">
        <v>28</v>
      </c>
      <c r="R291" s="1" t="s">
        <v>29</v>
      </c>
    </row>
    <row r="292" spans="1:18" x14ac:dyDescent="0.25">
      <c r="A292" s="1" t="s">
        <v>18</v>
      </c>
      <c r="B292" s="1" t="s">
        <v>340</v>
      </c>
      <c r="C292" s="1" t="s">
        <v>341</v>
      </c>
      <c r="D292" s="1" t="s">
        <v>21</v>
      </c>
      <c r="E292">
        <v>53.116700000000002</v>
      </c>
      <c r="F292">
        <v>18</v>
      </c>
      <c r="G292" s="1" t="s">
        <v>22</v>
      </c>
      <c r="H292" s="1" t="s">
        <v>23</v>
      </c>
      <c r="I292" s="1" t="s">
        <v>451</v>
      </c>
      <c r="J292" s="1" t="s">
        <v>88</v>
      </c>
      <c r="K292">
        <v>1</v>
      </c>
      <c r="L292">
        <v>618</v>
      </c>
      <c r="M292">
        <f t="shared" si="4"/>
        <v>618</v>
      </c>
      <c r="N292" s="1" t="s">
        <v>26</v>
      </c>
      <c r="O292">
        <v>2018</v>
      </c>
      <c r="P292" s="1" t="s">
        <v>40</v>
      </c>
      <c r="Q292" s="1" t="s">
        <v>41</v>
      </c>
      <c r="R292" s="1" t="s">
        <v>42</v>
      </c>
    </row>
    <row r="293" spans="1:18" x14ac:dyDescent="0.25">
      <c r="A293" s="1" t="s">
        <v>18</v>
      </c>
      <c r="B293" s="1" t="s">
        <v>134</v>
      </c>
      <c r="C293" s="1" t="s">
        <v>561</v>
      </c>
      <c r="D293" s="1" t="s">
        <v>21</v>
      </c>
      <c r="E293">
        <v>52.1417</v>
      </c>
      <c r="F293">
        <v>20.716699999999999</v>
      </c>
      <c r="G293" s="1" t="s">
        <v>22</v>
      </c>
      <c r="H293" s="1" t="s">
        <v>23</v>
      </c>
      <c r="I293" s="1" t="s">
        <v>245</v>
      </c>
      <c r="J293" s="1" t="s">
        <v>80</v>
      </c>
      <c r="K293">
        <v>1</v>
      </c>
      <c r="L293">
        <v>318</v>
      </c>
      <c r="M293">
        <f t="shared" si="4"/>
        <v>318</v>
      </c>
      <c r="N293" s="1" t="s">
        <v>26</v>
      </c>
      <c r="O293">
        <v>2018</v>
      </c>
      <c r="P293" s="1" t="s">
        <v>95</v>
      </c>
      <c r="Q293" s="1" t="s">
        <v>67</v>
      </c>
      <c r="R293" s="1" t="s">
        <v>68</v>
      </c>
    </row>
    <row r="294" spans="1:18" x14ac:dyDescent="0.25">
      <c r="A294" s="1" t="s">
        <v>18</v>
      </c>
      <c r="B294" s="1" t="s">
        <v>211</v>
      </c>
      <c r="C294" s="1" t="s">
        <v>212</v>
      </c>
      <c r="D294" s="1" t="s">
        <v>21</v>
      </c>
      <c r="E294">
        <v>52.183300000000003</v>
      </c>
      <c r="F294">
        <v>22.283300000000001</v>
      </c>
      <c r="G294" s="1" t="s">
        <v>31</v>
      </c>
      <c r="H294" s="1" t="s">
        <v>32</v>
      </c>
      <c r="I294" s="1" t="s">
        <v>450</v>
      </c>
      <c r="J294" s="1" t="s">
        <v>45</v>
      </c>
      <c r="K294">
        <v>1</v>
      </c>
      <c r="L294">
        <v>555</v>
      </c>
      <c r="M294">
        <f t="shared" si="4"/>
        <v>555</v>
      </c>
      <c r="N294" s="1" t="s">
        <v>26</v>
      </c>
      <c r="O294">
        <v>2018</v>
      </c>
      <c r="P294" s="1" t="s">
        <v>60</v>
      </c>
      <c r="Q294" s="1" t="s">
        <v>28</v>
      </c>
      <c r="R294" s="1" t="s">
        <v>29</v>
      </c>
    </row>
    <row r="295" spans="1:18" x14ac:dyDescent="0.25">
      <c r="A295" s="1" t="s">
        <v>18</v>
      </c>
      <c r="B295" s="1" t="s">
        <v>421</v>
      </c>
      <c r="C295" s="1" t="s">
        <v>624</v>
      </c>
      <c r="D295" s="1" t="s">
        <v>21</v>
      </c>
      <c r="E295">
        <v>51.466700000000003</v>
      </c>
      <c r="F295">
        <v>22.6</v>
      </c>
      <c r="G295" s="1" t="s">
        <v>31</v>
      </c>
      <c r="H295" s="1" t="s">
        <v>38</v>
      </c>
      <c r="I295" s="1" t="s">
        <v>452</v>
      </c>
      <c r="J295" s="1" t="s">
        <v>117</v>
      </c>
      <c r="K295">
        <v>1</v>
      </c>
      <c r="L295">
        <v>478</v>
      </c>
      <c r="M295">
        <f t="shared" si="4"/>
        <v>478</v>
      </c>
      <c r="N295" s="1" t="s">
        <v>26</v>
      </c>
      <c r="O295">
        <v>2018</v>
      </c>
      <c r="P295" s="1" t="s">
        <v>27</v>
      </c>
      <c r="Q295" s="1" t="s">
        <v>28</v>
      </c>
      <c r="R295" s="1" t="s">
        <v>29</v>
      </c>
    </row>
    <row r="296" spans="1:18" x14ac:dyDescent="0.25">
      <c r="A296" s="1" t="s">
        <v>18</v>
      </c>
      <c r="B296" s="1" t="s">
        <v>206</v>
      </c>
      <c r="C296" s="1" t="s">
        <v>584</v>
      </c>
      <c r="D296" s="1" t="s">
        <v>21</v>
      </c>
      <c r="E296">
        <v>52.124299999999998</v>
      </c>
      <c r="F296">
        <v>20.665400000000002</v>
      </c>
      <c r="G296" s="1" t="s">
        <v>31</v>
      </c>
      <c r="H296" s="1" t="s">
        <v>32</v>
      </c>
      <c r="I296" s="1" t="s">
        <v>453</v>
      </c>
      <c r="J296" s="1" t="s">
        <v>34</v>
      </c>
      <c r="K296">
        <v>20</v>
      </c>
      <c r="L296">
        <v>430</v>
      </c>
      <c r="M296">
        <f t="shared" si="4"/>
        <v>8600</v>
      </c>
      <c r="N296" s="1" t="s">
        <v>26</v>
      </c>
      <c r="O296">
        <v>2018</v>
      </c>
      <c r="P296" s="1" t="s">
        <v>95</v>
      </c>
      <c r="Q296" s="1" t="s">
        <v>67</v>
      </c>
      <c r="R296" s="1" t="s">
        <v>68</v>
      </c>
    </row>
    <row r="297" spans="1:18" x14ac:dyDescent="0.25">
      <c r="A297" s="1" t="s">
        <v>454</v>
      </c>
      <c r="B297" s="1" t="s">
        <v>455</v>
      </c>
      <c r="C297" s="1" t="s">
        <v>456</v>
      </c>
      <c r="D297" s="1" t="s">
        <v>218</v>
      </c>
      <c r="E297">
        <v>50.816699999999997</v>
      </c>
      <c r="F297">
        <v>8.7667000000000002</v>
      </c>
      <c r="G297" s="1" t="s">
        <v>31</v>
      </c>
      <c r="H297" s="1" t="s">
        <v>32</v>
      </c>
      <c r="I297" s="1" t="s">
        <v>137</v>
      </c>
      <c r="J297" s="1" t="s">
        <v>45</v>
      </c>
      <c r="K297">
        <v>3</v>
      </c>
      <c r="L297">
        <v>26</v>
      </c>
      <c r="M297">
        <f t="shared" si="4"/>
        <v>78</v>
      </c>
      <c r="N297" s="1" t="s">
        <v>289</v>
      </c>
      <c r="O297">
        <v>2017</v>
      </c>
      <c r="P297" s="1" t="s">
        <v>27</v>
      </c>
      <c r="Q297" s="1" t="s">
        <v>28</v>
      </c>
      <c r="R297" s="1" t="s">
        <v>29</v>
      </c>
    </row>
    <row r="298" spans="1:18" x14ac:dyDescent="0.25">
      <c r="A298" s="1" t="s">
        <v>454</v>
      </c>
      <c r="B298" s="1" t="s">
        <v>457</v>
      </c>
      <c r="C298" s="1" t="s">
        <v>458</v>
      </c>
      <c r="D298" s="1" t="s">
        <v>218</v>
      </c>
      <c r="E298">
        <v>52.411700000000003</v>
      </c>
      <c r="F298">
        <v>12.556100000000001</v>
      </c>
      <c r="G298" s="1" t="s">
        <v>22</v>
      </c>
      <c r="H298" s="1" t="s">
        <v>74</v>
      </c>
      <c r="I298" s="1" t="s">
        <v>203</v>
      </c>
      <c r="J298" s="1" t="s">
        <v>80</v>
      </c>
      <c r="K298">
        <v>20</v>
      </c>
      <c r="L298">
        <v>269</v>
      </c>
      <c r="M298">
        <f t="shared" si="4"/>
        <v>5380</v>
      </c>
      <c r="N298" s="1" t="s">
        <v>289</v>
      </c>
      <c r="O298">
        <v>2017</v>
      </c>
      <c r="P298" s="1" t="s">
        <v>95</v>
      </c>
      <c r="Q298" s="1" t="s">
        <v>67</v>
      </c>
      <c r="R298" s="1" t="s">
        <v>68</v>
      </c>
    </row>
    <row r="299" spans="1:18" x14ac:dyDescent="0.25">
      <c r="A299" s="1" t="s">
        <v>454</v>
      </c>
      <c r="B299" s="1" t="s">
        <v>459</v>
      </c>
      <c r="C299" s="1" t="s">
        <v>460</v>
      </c>
      <c r="D299" s="1" t="s">
        <v>218</v>
      </c>
      <c r="E299">
        <v>50.1</v>
      </c>
      <c r="F299">
        <v>11.433299999999999</v>
      </c>
      <c r="G299" s="1" t="s">
        <v>31</v>
      </c>
      <c r="H299" s="1" t="s">
        <v>32</v>
      </c>
      <c r="I299" s="1" t="s">
        <v>393</v>
      </c>
      <c r="J299" s="1" t="s">
        <v>117</v>
      </c>
      <c r="K299">
        <v>10</v>
      </c>
      <c r="L299">
        <v>474</v>
      </c>
      <c r="M299">
        <f t="shared" si="4"/>
        <v>4740</v>
      </c>
      <c r="N299" s="1" t="s">
        <v>289</v>
      </c>
      <c r="O299">
        <v>2017</v>
      </c>
      <c r="P299" s="1" t="s">
        <v>50</v>
      </c>
      <c r="Q299" s="1" t="s">
        <v>28</v>
      </c>
      <c r="R299" s="1" t="s">
        <v>29</v>
      </c>
    </row>
    <row r="300" spans="1:18" x14ac:dyDescent="0.25">
      <c r="A300" s="1" t="s">
        <v>454</v>
      </c>
      <c r="B300" s="1" t="s">
        <v>461</v>
      </c>
      <c r="C300" s="1" t="s">
        <v>462</v>
      </c>
      <c r="D300" s="1" t="s">
        <v>218</v>
      </c>
      <c r="E300">
        <v>49.3</v>
      </c>
      <c r="F300">
        <v>10.583299999999999</v>
      </c>
      <c r="G300" s="1" t="s">
        <v>22</v>
      </c>
      <c r="H300" s="1" t="s">
        <v>74</v>
      </c>
      <c r="I300" s="1" t="s">
        <v>158</v>
      </c>
      <c r="J300" s="1" t="s">
        <v>45</v>
      </c>
      <c r="K300">
        <v>10</v>
      </c>
      <c r="L300">
        <v>60</v>
      </c>
      <c r="M300">
        <f t="shared" si="4"/>
        <v>600</v>
      </c>
      <c r="N300" s="1" t="s">
        <v>289</v>
      </c>
      <c r="O300">
        <v>2017</v>
      </c>
      <c r="P300" s="1" t="s">
        <v>40</v>
      </c>
      <c r="Q300" s="1" t="s">
        <v>41</v>
      </c>
      <c r="R300" s="1" t="s">
        <v>42</v>
      </c>
    </row>
    <row r="301" spans="1:18" x14ac:dyDescent="0.25">
      <c r="A301" s="1" t="s">
        <v>454</v>
      </c>
      <c r="B301" s="1" t="s">
        <v>463</v>
      </c>
      <c r="C301" s="1" t="s">
        <v>464</v>
      </c>
      <c r="D301" s="1" t="s">
        <v>218</v>
      </c>
      <c r="E301">
        <v>49.2</v>
      </c>
      <c r="F301">
        <v>7.6</v>
      </c>
      <c r="G301" s="1" t="s">
        <v>22</v>
      </c>
      <c r="H301" s="1" t="s">
        <v>74</v>
      </c>
      <c r="I301" s="1" t="s">
        <v>406</v>
      </c>
      <c r="J301" s="1" t="s">
        <v>88</v>
      </c>
      <c r="K301">
        <v>5</v>
      </c>
      <c r="L301">
        <v>726</v>
      </c>
      <c r="M301">
        <f t="shared" si="4"/>
        <v>3630</v>
      </c>
      <c r="N301" s="1" t="s">
        <v>289</v>
      </c>
      <c r="O301">
        <v>2017</v>
      </c>
      <c r="P301" s="1" t="s">
        <v>95</v>
      </c>
      <c r="Q301" s="1" t="s">
        <v>67</v>
      </c>
      <c r="R301" s="1" t="s">
        <v>68</v>
      </c>
    </row>
    <row r="302" spans="1:18" x14ac:dyDescent="0.25">
      <c r="A302" s="1" t="s">
        <v>454</v>
      </c>
      <c r="B302" s="1" t="s">
        <v>465</v>
      </c>
      <c r="C302" s="1" t="s">
        <v>466</v>
      </c>
      <c r="D302" s="1" t="s">
        <v>218</v>
      </c>
      <c r="E302">
        <v>52.216700000000003</v>
      </c>
      <c r="F302">
        <v>8.9332999999999991</v>
      </c>
      <c r="G302" s="1" t="s">
        <v>22</v>
      </c>
      <c r="H302" s="1" t="s">
        <v>23</v>
      </c>
      <c r="I302" s="1" t="s">
        <v>139</v>
      </c>
      <c r="J302" s="1" t="s">
        <v>25</v>
      </c>
      <c r="K302">
        <v>10</v>
      </c>
      <c r="L302">
        <v>452</v>
      </c>
      <c r="M302">
        <f t="shared" si="4"/>
        <v>4520</v>
      </c>
      <c r="N302" s="1" t="s">
        <v>289</v>
      </c>
      <c r="O302">
        <v>2017</v>
      </c>
      <c r="P302" s="1" t="s">
        <v>71</v>
      </c>
      <c r="Q302" s="1" t="s">
        <v>41</v>
      </c>
      <c r="R302" s="1" t="s">
        <v>42</v>
      </c>
    </row>
    <row r="303" spans="1:18" x14ac:dyDescent="0.25">
      <c r="A303" s="1" t="s">
        <v>454</v>
      </c>
      <c r="B303" s="1" t="s">
        <v>467</v>
      </c>
      <c r="C303" s="1" t="s">
        <v>468</v>
      </c>
      <c r="D303" s="1" t="s">
        <v>218</v>
      </c>
      <c r="E303">
        <v>51.937800000000003</v>
      </c>
      <c r="F303">
        <v>8.8833000000000002</v>
      </c>
      <c r="G303" s="1" t="s">
        <v>22</v>
      </c>
      <c r="H303" s="1" t="s">
        <v>74</v>
      </c>
      <c r="I303" s="1" t="s">
        <v>219</v>
      </c>
      <c r="J303" s="1" t="s">
        <v>117</v>
      </c>
      <c r="K303">
        <v>10</v>
      </c>
      <c r="L303">
        <v>713</v>
      </c>
      <c r="M303">
        <f t="shared" si="4"/>
        <v>7130</v>
      </c>
      <c r="N303" s="1" t="s">
        <v>289</v>
      </c>
      <c r="O303">
        <v>2017</v>
      </c>
      <c r="P303" s="1" t="s">
        <v>27</v>
      </c>
      <c r="Q303" s="1" t="s">
        <v>28</v>
      </c>
      <c r="R303" s="1" t="s">
        <v>29</v>
      </c>
    </row>
    <row r="304" spans="1:18" x14ac:dyDescent="0.25">
      <c r="A304" s="1" t="s">
        <v>454</v>
      </c>
      <c r="B304" s="1" t="s">
        <v>469</v>
      </c>
      <c r="C304" s="1" t="s">
        <v>470</v>
      </c>
      <c r="D304" s="1" t="s">
        <v>218</v>
      </c>
      <c r="E304">
        <v>52.964700000000001</v>
      </c>
      <c r="F304">
        <v>10.565799999999999</v>
      </c>
      <c r="G304" s="1" t="s">
        <v>22</v>
      </c>
      <c r="H304" s="1" t="s">
        <v>74</v>
      </c>
      <c r="I304" s="1" t="s">
        <v>191</v>
      </c>
      <c r="J304" s="1" t="s">
        <v>117</v>
      </c>
      <c r="K304">
        <v>20</v>
      </c>
      <c r="L304">
        <v>206</v>
      </c>
      <c r="M304">
        <f t="shared" si="4"/>
        <v>4120</v>
      </c>
      <c r="N304" s="1" t="s">
        <v>289</v>
      </c>
      <c r="O304">
        <v>2017</v>
      </c>
      <c r="P304" s="1" t="s">
        <v>106</v>
      </c>
      <c r="Q304" s="1" t="s">
        <v>67</v>
      </c>
      <c r="R304" s="1" t="s">
        <v>68</v>
      </c>
    </row>
    <row r="305" spans="1:18" x14ac:dyDescent="0.25">
      <c r="A305" s="1" t="s">
        <v>454</v>
      </c>
      <c r="B305" s="1" t="s">
        <v>471</v>
      </c>
      <c r="C305" s="1" t="s">
        <v>472</v>
      </c>
      <c r="D305" s="1" t="s">
        <v>218</v>
      </c>
      <c r="E305">
        <v>48.283299999999997</v>
      </c>
      <c r="F305">
        <v>9.7235999999999994</v>
      </c>
      <c r="G305" s="1" t="s">
        <v>31</v>
      </c>
      <c r="H305" s="1" t="s">
        <v>32</v>
      </c>
      <c r="I305" s="1" t="s">
        <v>473</v>
      </c>
      <c r="J305" s="1" t="s">
        <v>25</v>
      </c>
      <c r="K305">
        <v>20</v>
      </c>
      <c r="L305">
        <v>64</v>
      </c>
      <c r="M305">
        <f t="shared" si="4"/>
        <v>1280</v>
      </c>
      <c r="N305" s="1" t="s">
        <v>289</v>
      </c>
      <c r="O305">
        <v>2017</v>
      </c>
      <c r="P305" s="1" t="s">
        <v>40</v>
      </c>
      <c r="Q305" s="1" t="s">
        <v>41</v>
      </c>
      <c r="R305" s="1" t="s">
        <v>42</v>
      </c>
    </row>
    <row r="306" spans="1:18" x14ac:dyDescent="0.25">
      <c r="A306" s="1" t="s">
        <v>454</v>
      </c>
      <c r="B306" s="1" t="s">
        <v>474</v>
      </c>
      <c r="C306" s="1" t="s">
        <v>475</v>
      </c>
      <c r="D306" s="1" t="s">
        <v>218</v>
      </c>
      <c r="E306">
        <v>48.714399999999998</v>
      </c>
      <c r="F306">
        <v>8.7375000000000007</v>
      </c>
      <c r="G306" s="1" t="s">
        <v>22</v>
      </c>
      <c r="H306" s="1" t="s">
        <v>23</v>
      </c>
      <c r="I306" s="1" t="s">
        <v>70</v>
      </c>
      <c r="J306" s="1" t="s">
        <v>45</v>
      </c>
      <c r="K306">
        <v>5</v>
      </c>
      <c r="L306">
        <v>243</v>
      </c>
      <c r="M306">
        <f t="shared" si="4"/>
        <v>1215</v>
      </c>
      <c r="N306" s="1" t="s">
        <v>289</v>
      </c>
      <c r="O306">
        <v>2017</v>
      </c>
      <c r="P306" s="1" t="s">
        <v>40</v>
      </c>
      <c r="Q306" s="1" t="s">
        <v>41</v>
      </c>
      <c r="R306" s="1" t="s">
        <v>42</v>
      </c>
    </row>
    <row r="307" spans="1:18" x14ac:dyDescent="0.25">
      <c r="A307" s="1" t="s">
        <v>454</v>
      </c>
      <c r="B307" s="1" t="s">
        <v>476</v>
      </c>
      <c r="C307" s="1" t="s">
        <v>477</v>
      </c>
      <c r="D307" s="1" t="s">
        <v>218</v>
      </c>
      <c r="E307">
        <v>52.212499999999999</v>
      </c>
      <c r="F307">
        <v>7.0416999999999996</v>
      </c>
      <c r="G307" s="1" t="s">
        <v>31</v>
      </c>
      <c r="H307" s="1" t="s">
        <v>38</v>
      </c>
      <c r="I307" s="1" t="s">
        <v>84</v>
      </c>
      <c r="J307" s="1" t="s">
        <v>25</v>
      </c>
      <c r="K307">
        <v>10</v>
      </c>
      <c r="L307">
        <v>785</v>
      </c>
      <c r="M307">
        <f t="shared" si="4"/>
        <v>7850</v>
      </c>
      <c r="N307" s="1" t="s">
        <v>289</v>
      </c>
      <c r="O307">
        <v>2017</v>
      </c>
      <c r="P307" s="1" t="s">
        <v>77</v>
      </c>
      <c r="Q307" s="1" t="s">
        <v>56</v>
      </c>
      <c r="R307" s="1" t="s">
        <v>57</v>
      </c>
    </row>
    <row r="308" spans="1:18" x14ac:dyDescent="0.25">
      <c r="A308" s="1" t="s">
        <v>454</v>
      </c>
      <c r="B308" s="1" t="s">
        <v>478</v>
      </c>
      <c r="C308" s="1" t="s">
        <v>479</v>
      </c>
      <c r="D308" s="1" t="s">
        <v>218</v>
      </c>
      <c r="E308">
        <v>53.066699999999997</v>
      </c>
      <c r="F308">
        <v>7.4</v>
      </c>
      <c r="G308" s="1" t="s">
        <v>22</v>
      </c>
      <c r="H308" s="1" t="s">
        <v>23</v>
      </c>
      <c r="I308" s="1" t="s">
        <v>87</v>
      </c>
      <c r="J308" s="1" t="s">
        <v>88</v>
      </c>
      <c r="K308">
        <v>30</v>
      </c>
      <c r="L308">
        <v>286</v>
      </c>
      <c r="M308">
        <f t="shared" si="4"/>
        <v>8580</v>
      </c>
      <c r="N308" s="1" t="s">
        <v>289</v>
      </c>
      <c r="O308">
        <v>2017</v>
      </c>
      <c r="P308" s="1" t="s">
        <v>81</v>
      </c>
      <c r="Q308" s="1" t="s">
        <v>41</v>
      </c>
      <c r="R308" s="1" t="s">
        <v>42</v>
      </c>
    </row>
    <row r="309" spans="1:18" x14ac:dyDescent="0.25">
      <c r="A309" s="1" t="s">
        <v>454</v>
      </c>
      <c r="B309" s="1" t="s">
        <v>480</v>
      </c>
      <c r="C309" s="1" t="s">
        <v>481</v>
      </c>
      <c r="D309" s="1" t="s">
        <v>218</v>
      </c>
      <c r="E309">
        <v>51.666699999999999</v>
      </c>
      <c r="F309">
        <v>7.1166999999999998</v>
      </c>
      <c r="G309" s="1" t="s">
        <v>22</v>
      </c>
      <c r="H309" s="1" t="s">
        <v>23</v>
      </c>
      <c r="I309" s="1" t="s">
        <v>170</v>
      </c>
      <c r="J309" s="1" t="s">
        <v>25</v>
      </c>
      <c r="K309">
        <v>50</v>
      </c>
      <c r="L309">
        <v>99</v>
      </c>
      <c r="M309">
        <f t="shared" si="4"/>
        <v>4950</v>
      </c>
      <c r="N309" s="1" t="s">
        <v>289</v>
      </c>
      <c r="O309">
        <v>2017</v>
      </c>
      <c r="P309" s="1" t="s">
        <v>35</v>
      </c>
      <c r="Q309" s="1" t="s">
        <v>28</v>
      </c>
      <c r="R309" s="1" t="s">
        <v>29</v>
      </c>
    </row>
    <row r="310" spans="1:18" x14ac:dyDescent="0.25">
      <c r="A310" s="1" t="s">
        <v>454</v>
      </c>
      <c r="B310" s="1" t="s">
        <v>482</v>
      </c>
      <c r="C310" s="1" t="s">
        <v>629</v>
      </c>
      <c r="D310" s="1" t="s">
        <v>218</v>
      </c>
      <c r="E310">
        <v>52.291699999999999</v>
      </c>
      <c r="F310">
        <v>13.625</v>
      </c>
      <c r="G310" s="1" t="s">
        <v>31</v>
      </c>
      <c r="H310" s="1" t="s">
        <v>32</v>
      </c>
      <c r="I310" s="1" t="s">
        <v>399</v>
      </c>
      <c r="J310" s="1" t="s">
        <v>34</v>
      </c>
      <c r="K310">
        <v>10</v>
      </c>
      <c r="L310">
        <v>688</v>
      </c>
      <c r="M310">
        <f t="shared" si="4"/>
        <v>6880</v>
      </c>
      <c r="N310" s="1" t="s">
        <v>289</v>
      </c>
      <c r="O310">
        <v>2017</v>
      </c>
      <c r="P310" s="1" t="s">
        <v>71</v>
      </c>
      <c r="Q310" s="1" t="s">
        <v>41</v>
      </c>
      <c r="R310" s="1" t="s">
        <v>42</v>
      </c>
    </row>
    <row r="311" spans="1:18" x14ac:dyDescent="0.25">
      <c r="A311" s="1" t="s">
        <v>454</v>
      </c>
      <c r="B311" s="1" t="s">
        <v>483</v>
      </c>
      <c r="C311" s="1" t="s">
        <v>484</v>
      </c>
      <c r="D311" s="1" t="s">
        <v>218</v>
      </c>
      <c r="E311">
        <v>50.645000000000003</v>
      </c>
      <c r="F311">
        <v>7.2268999999999997</v>
      </c>
      <c r="G311" s="1" t="s">
        <v>31</v>
      </c>
      <c r="H311" s="1" t="s">
        <v>38</v>
      </c>
      <c r="I311" s="1" t="s">
        <v>485</v>
      </c>
      <c r="J311" s="1" t="s">
        <v>25</v>
      </c>
      <c r="K311">
        <v>-10</v>
      </c>
      <c r="L311">
        <v>187</v>
      </c>
      <c r="M311">
        <f t="shared" si="4"/>
        <v>-1870</v>
      </c>
      <c r="N311" s="1" t="s">
        <v>289</v>
      </c>
      <c r="O311">
        <v>2017</v>
      </c>
      <c r="P311" s="1" t="s">
        <v>81</v>
      </c>
      <c r="Q311" s="1" t="s">
        <v>41</v>
      </c>
      <c r="R311" s="1" t="s">
        <v>42</v>
      </c>
    </row>
    <row r="312" spans="1:18" x14ac:dyDescent="0.25">
      <c r="A312" s="1" t="s">
        <v>454</v>
      </c>
      <c r="B312" s="1" t="s">
        <v>486</v>
      </c>
      <c r="C312" s="1" t="s">
        <v>487</v>
      </c>
      <c r="D312" s="1" t="s">
        <v>218</v>
      </c>
      <c r="E312">
        <v>48.631399999999999</v>
      </c>
      <c r="F312">
        <v>8.0739000000000001</v>
      </c>
      <c r="G312" s="1" t="s">
        <v>31</v>
      </c>
      <c r="H312" s="1" t="s">
        <v>32</v>
      </c>
      <c r="I312" s="1" t="s">
        <v>488</v>
      </c>
      <c r="J312" s="1" t="s">
        <v>25</v>
      </c>
      <c r="K312">
        <v>500</v>
      </c>
      <c r="L312">
        <v>180</v>
      </c>
      <c r="M312">
        <f t="shared" si="4"/>
        <v>90000</v>
      </c>
      <c r="N312" s="1" t="s">
        <v>289</v>
      </c>
      <c r="O312">
        <v>2017</v>
      </c>
      <c r="P312" s="1" t="s">
        <v>77</v>
      </c>
      <c r="Q312" s="1" t="s">
        <v>56</v>
      </c>
      <c r="R312" s="1" t="s">
        <v>57</v>
      </c>
    </row>
    <row r="313" spans="1:18" x14ac:dyDescent="0.25">
      <c r="A313" s="1" t="s">
        <v>489</v>
      </c>
      <c r="B313" s="1" t="s">
        <v>490</v>
      </c>
      <c r="C313" s="1" t="s">
        <v>491</v>
      </c>
      <c r="D313" s="1" t="s">
        <v>218</v>
      </c>
      <c r="E313">
        <v>48.722799999999999</v>
      </c>
      <c r="F313">
        <v>9.2630999999999997</v>
      </c>
      <c r="G313" s="1" t="s">
        <v>22</v>
      </c>
      <c r="H313" s="1" t="s">
        <v>74</v>
      </c>
      <c r="I313" s="1" t="s">
        <v>94</v>
      </c>
      <c r="J313" s="1" t="s">
        <v>88</v>
      </c>
      <c r="K313">
        <v>20</v>
      </c>
      <c r="L313">
        <v>548</v>
      </c>
      <c r="M313">
        <f t="shared" si="4"/>
        <v>10960</v>
      </c>
      <c r="N313" s="1" t="s">
        <v>85</v>
      </c>
      <c r="O313">
        <v>2017</v>
      </c>
      <c r="P313" s="1" t="s">
        <v>103</v>
      </c>
      <c r="Q313" s="1" t="s">
        <v>56</v>
      </c>
      <c r="R313" s="1" t="s">
        <v>57</v>
      </c>
    </row>
    <row r="314" spans="1:18" x14ac:dyDescent="0.25">
      <c r="A314" s="1" t="s">
        <v>489</v>
      </c>
      <c r="B314" s="1" t="s">
        <v>492</v>
      </c>
      <c r="C314" s="1" t="s">
        <v>493</v>
      </c>
      <c r="D314" s="1" t="s">
        <v>218</v>
      </c>
      <c r="E314">
        <v>51.08</v>
      </c>
      <c r="F314">
        <v>6.3155999999999999</v>
      </c>
      <c r="G314" s="1" t="s">
        <v>31</v>
      </c>
      <c r="H314" s="1" t="s">
        <v>32</v>
      </c>
      <c r="I314" s="1" t="s">
        <v>488</v>
      </c>
      <c r="J314" s="1" t="s">
        <v>25</v>
      </c>
      <c r="K314">
        <v>20</v>
      </c>
      <c r="L314">
        <v>180</v>
      </c>
      <c r="M314">
        <f t="shared" si="4"/>
        <v>3600</v>
      </c>
      <c r="N314" s="1" t="s">
        <v>289</v>
      </c>
      <c r="O314">
        <v>2017</v>
      </c>
      <c r="P314" s="1" t="s">
        <v>103</v>
      </c>
      <c r="Q314" s="1" t="s">
        <v>56</v>
      </c>
      <c r="R314" s="1" t="s">
        <v>57</v>
      </c>
    </row>
    <row r="315" spans="1:18" x14ac:dyDescent="0.25">
      <c r="A315" s="1" t="s">
        <v>489</v>
      </c>
      <c r="B315" s="1" t="s">
        <v>494</v>
      </c>
      <c r="C315" s="1" t="s">
        <v>495</v>
      </c>
      <c r="D315" s="1" t="s">
        <v>218</v>
      </c>
      <c r="E315">
        <v>52.666699999999999</v>
      </c>
      <c r="F315">
        <v>8.2385999999999999</v>
      </c>
      <c r="G315" s="1" t="s">
        <v>22</v>
      </c>
      <c r="H315" s="1" t="s">
        <v>74</v>
      </c>
      <c r="I315" s="1" t="s">
        <v>307</v>
      </c>
      <c r="J315" s="1" t="s">
        <v>80</v>
      </c>
      <c r="K315">
        <v>10</v>
      </c>
      <c r="L315">
        <v>535</v>
      </c>
      <c r="M315">
        <f t="shared" si="4"/>
        <v>5350</v>
      </c>
      <c r="N315" s="1" t="s">
        <v>289</v>
      </c>
      <c r="O315">
        <v>2017</v>
      </c>
      <c r="P315" s="1" t="s">
        <v>106</v>
      </c>
      <c r="Q315" s="1" t="s">
        <v>67</v>
      </c>
      <c r="R315" s="1" t="s">
        <v>68</v>
      </c>
    </row>
    <row r="316" spans="1:18" x14ac:dyDescent="0.25">
      <c r="A316" s="1" t="s">
        <v>489</v>
      </c>
      <c r="B316" s="1" t="s">
        <v>496</v>
      </c>
      <c r="C316" s="1" t="s">
        <v>497</v>
      </c>
      <c r="D316" s="1" t="s">
        <v>218</v>
      </c>
      <c r="E316">
        <v>49.7517</v>
      </c>
      <c r="F316">
        <v>8.1160999999999994</v>
      </c>
      <c r="G316" s="1" t="s">
        <v>22</v>
      </c>
      <c r="H316" s="1" t="s">
        <v>74</v>
      </c>
      <c r="I316" s="1" t="s">
        <v>242</v>
      </c>
      <c r="J316" s="1" t="s">
        <v>45</v>
      </c>
      <c r="K316">
        <v>20</v>
      </c>
      <c r="L316">
        <v>298</v>
      </c>
      <c r="M316">
        <f t="shared" si="4"/>
        <v>5960</v>
      </c>
      <c r="N316" s="1" t="s">
        <v>85</v>
      </c>
      <c r="O316">
        <v>2017</v>
      </c>
      <c r="P316" s="1" t="s">
        <v>50</v>
      </c>
      <c r="Q316" s="1" t="s">
        <v>28</v>
      </c>
      <c r="R316" s="1" t="s">
        <v>29</v>
      </c>
    </row>
    <row r="317" spans="1:18" x14ac:dyDescent="0.25">
      <c r="A317" s="1" t="s">
        <v>489</v>
      </c>
      <c r="B317" s="1" t="s">
        <v>498</v>
      </c>
      <c r="C317" s="1" t="s">
        <v>499</v>
      </c>
      <c r="D317" s="1" t="s">
        <v>218</v>
      </c>
      <c r="E317">
        <v>49.681100000000001</v>
      </c>
      <c r="F317">
        <v>8.6227999999999998</v>
      </c>
      <c r="G317" s="1" t="s">
        <v>31</v>
      </c>
      <c r="H317" s="1" t="s">
        <v>32</v>
      </c>
      <c r="I317" s="1" t="s">
        <v>128</v>
      </c>
      <c r="J317" s="1" t="s">
        <v>80</v>
      </c>
      <c r="K317">
        <v>20</v>
      </c>
      <c r="L317">
        <v>692</v>
      </c>
      <c r="M317">
        <f t="shared" si="4"/>
        <v>13840</v>
      </c>
      <c r="N317" s="1" t="s">
        <v>289</v>
      </c>
      <c r="O317">
        <v>2017</v>
      </c>
      <c r="P317" s="1" t="s">
        <v>77</v>
      </c>
      <c r="Q317" s="1" t="s">
        <v>56</v>
      </c>
      <c r="R317" s="1" t="s">
        <v>57</v>
      </c>
    </row>
    <row r="318" spans="1:18" x14ac:dyDescent="0.25">
      <c r="A318" s="1" t="s">
        <v>454</v>
      </c>
      <c r="B318" s="1" t="s">
        <v>500</v>
      </c>
      <c r="C318" s="1" t="s">
        <v>630</v>
      </c>
      <c r="D318" s="1" t="s">
        <v>218</v>
      </c>
      <c r="E318">
        <v>48.283299999999997</v>
      </c>
      <c r="F318">
        <v>11.566700000000001</v>
      </c>
      <c r="G318" s="1" t="s">
        <v>31</v>
      </c>
      <c r="H318" s="1" t="s">
        <v>32</v>
      </c>
      <c r="I318" s="1" t="s">
        <v>285</v>
      </c>
      <c r="J318" s="1" t="s">
        <v>34</v>
      </c>
      <c r="K318">
        <v>5</v>
      </c>
      <c r="L318">
        <v>773</v>
      </c>
      <c r="M318">
        <f t="shared" si="4"/>
        <v>3865</v>
      </c>
      <c r="N318" s="1" t="s">
        <v>283</v>
      </c>
      <c r="O318">
        <v>2017</v>
      </c>
      <c r="P318" s="1" t="s">
        <v>27</v>
      </c>
      <c r="Q318" s="1" t="s">
        <v>28</v>
      </c>
      <c r="R318" s="1" t="s">
        <v>29</v>
      </c>
    </row>
    <row r="319" spans="1:18" x14ac:dyDescent="0.25">
      <c r="A319" s="1" t="s">
        <v>454</v>
      </c>
      <c r="B319" s="1" t="s">
        <v>501</v>
      </c>
      <c r="C319" s="1" t="s">
        <v>502</v>
      </c>
      <c r="D319" s="1" t="s">
        <v>218</v>
      </c>
      <c r="E319">
        <v>49.537999999999997</v>
      </c>
      <c r="F319">
        <v>8.5792000000000002</v>
      </c>
      <c r="G319" s="1" t="s">
        <v>31</v>
      </c>
      <c r="H319" s="1" t="s">
        <v>38</v>
      </c>
      <c r="I319" s="1" t="s">
        <v>503</v>
      </c>
      <c r="J319" s="1" t="s">
        <v>80</v>
      </c>
      <c r="K319">
        <v>2</v>
      </c>
      <c r="L319">
        <v>22</v>
      </c>
      <c r="M319">
        <f t="shared" si="4"/>
        <v>44</v>
      </c>
      <c r="N319" s="1" t="s">
        <v>283</v>
      </c>
      <c r="O319">
        <v>2017</v>
      </c>
      <c r="P319" s="1" t="s">
        <v>95</v>
      </c>
      <c r="Q319" s="1" t="s">
        <v>67</v>
      </c>
      <c r="R319" s="1" t="s">
        <v>68</v>
      </c>
    </row>
    <row r="320" spans="1:18" x14ac:dyDescent="0.25">
      <c r="A320" s="1" t="s">
        <v>454</v>
      </c>
      <c r="B320" s="1" t="s">
        <v>504</v>
      </c>
      <c r="C320" s="1" t="s">
        <v>505</v>
      </c>
      <c r="D320" s="1" t="s">
        <v>218</v>
      </c>
      <c r="E320">
        <v>52.625599999999999</v>
      </c>
      <c r="F320">
        <v>10.0825</v>
      </c>
      <c r="G320" s="1" t="s">
        <v>31</v>
      </c>
      <c r="H320" s="1" t="s">
        <v>32</v>
      </c>
      <c r="I320" s="1" t="s">
        <v>411</v>
      </c>
      <c r="J320" s="1" t="s">
        <v>80</v>
      </c>
      <c r="K320">
        <v>500</v>
      </c>
      <c r="L320">
        <v>469</v>
      </c>
      <c r="M320">
        <f t="shared" si="4"/>
        <v>234500</v>
      </c>
      <c r="N320" s="1" t="s">
        <v>283</v>
      </c>
      <c r="O320">
        <v>2017</v>
      </c>
      <c r="P320" s="1" t="s">
        <v>40</v>
      </c>
      <c r="Q320" s="1" t="s">
        <v>41</v>
      </c>
      <c r="R320" s="1" t="s">
        <v>42</v>
      </c>
    </row>
    <row r="321" spans="1:18" x14ac:dyDescent="0.25">
      <c r="A321" s="1" t="s">
        <v>454</v>
      </c>
      <c r="B321" s="1" t="s">
        <v>506</v>
      </c>
      <c r="C321" s="1" t="s">
        <v>507</v>
      </c>
      <c r="D321" s="1" t="s">
        <v>218</v>
      </c>
      <c r="E321">
        <v>51.867100000000001</v>
      </c>
      <c r="F321">
        <v>12.648400000000001</v>
      </c>
      <c r="G321" s="1" t="s">
        <v>22</v>
      </c>
      <c r="H321" s="1" t="s">
        <v>23</v>
      </c>
      <c r="I321" s="1" t="s">
        <v>330</v>
      </c>
      <c r="J321" s="1" t="s">
        <v>45</v>
      </c>
      <c r="K321">
        <v>5</v>
      </c>
      <c r="L321">
        <v>113</v>
      </c>
      <c r="M321">
        <f t="shared" si="4"/>
        <v>565</v>
      </c>
      <c r="N321" s="1" t="s">
        <v>26</v>
      </c>
      <c r="O321">
        <v>2017</v>
      </c>
      <c r="P321" s="1" t="s">
        <v>71</v>
      </c>
      <c r="Q321" s="1" t="s">
        <v>41</v>
      </c>
      <c r="R321" s="1" t="s">
        <v>42</v>
      </c>
    </row>
    <row r="322" spans="1:18" x14ac:dyDescent="0.25">
      <c r="A322" s="1" t="s">
        <v>454</v>
      </c>
      <c r="B322" s="1" t="s">
        <v>508</v>
      </c>
      <c r="C322" s="1" t="s">
        <v>509</v>
      </c>
      <c r="D322" s="1" t="s">
        <v>218</v>
      </c>
      <c r="E322">
        <v>50.654699999999998</v>
      </c>
      <c r="F322">
        <v>12.1997</v>
      </c>
      <c r="G322" s="1" t="s">
        <v>22</v>
      </c>
      <c r="H322" s="1" t="s">
        <v>74</v>
      </c>
      <c r="I322" s="1" t="s">
        <v>111</v>
      </c>
      <c r="J322" s="1" t="s">
        <v>34</v>
      </c>
      <c r="K322">
        <v>4</v>
      </c>
      <c r="L322">
        <v>215</v>
      </c>
      <c r="M322">
        <f t="shared" si="4"/>
        <v>860</v>
      </c>
      <c r="N322" s="1" t="s">
        <v>283</v>
      </c>
      <c r="O322">
        <v>2017</v>
      </c>
      <c r="P322" s="1" t="s">
        <v>81</v>
      </c>
      <c r="Q322" s="1" t="s">
        <v>41</v>
      </c>
      <c r="R322" s="1" t="s">
        <v>42</v>
      </c>
    </row>
    <row r="323" spans="1:18" x14ac:dyDescent="0.25">
      <c r="A323" s="1" t="s">
        <v>454</v>
      </c>
      <c r="B323" s="1" t="s">
        <v>510</v>
      </c>
      <c r="C323" s="1" t="s">
        <v>631</v>
      </c>
      <c r="D323" s="1" t="s">
        <v>218</v>
      </c>
      <c r="E323">
        <v>51.216700000000003</v>
      </c>
      <c r="F323">
        <v>10.45</v>
      </c>
      <c r="G323" s="1" t="s">
        <v>31</v>
      </c>
      <c r="H323" s="1" t="s">
        <v>32</v>
      </c>
      <c r="I323" s="1" t="s">
        <v>445</v>
      </c>
      <c r="J323" s="1" t="s">
        <v>25</v>
      </c>
      <c r="K323">
        <v>3</v>
      </c>
      <c r="L323">
        <v>682</v>
      </c>
      <c r="M323">
        <f t="shared" ref="M323:M337" si="5">SUM(K323*L323)</f>
        <v>2046</v>
      </c>
      <c r="N323" s="1" t="s">
        <v>76</v>
      </c>
      <c r="O323">
        <v>2017</v>
      </c>
      <c r="P323" s="1" t="s">
        <v>66</v>
      </c>
      <c r="Q323" s="1" t="s">
        <v>67</v>
      </c>
      <c r="R323" s="1" t="s">
        <v>68</v>
      </c>
    </row>
    <row r="324" spans="1:18" x14ac:dyDescent="0.25">
      <c r="A324" s="1" t="s">
        <v>454</v>
      </c>
      <c r="B324" s="1" t="s">
        <v>511</v>
      </c>
      <c r="C324" s="1" t="s">
        <v>512</v>
      </c>
      <c r="D324" s="1" t="s">
        <v>218</v>
      </c>
      <c r="E324">
        <v>51.171399999999998</v>
      </c>
      <c r="F324">
        <v>6.9394</v>
      </c>
      <c r="G324" s="1" t="s">
        <v>31</v>
      </c>
      <c r="H324" s="1" t="s">
        <v>32</v>
      </c>
      <c r="I324" s="1" t="s">
        <v>370</v>
      </c>
      <c r="J324" s="1" t="s">
        <v>80</v>
      </c>
      <c r="K324">
        <v>10</v>
      </c>
      <c r="L324">
        <v>785</v>
      </c>
      <c r="M324">
        <f t="shared" si="5"/>
        <v>7850</v>
      </c>
      <c r="N324" s="1" t="s">
        <v>49</v>
      </c>
      <c r="O324">
        <v>2017</v>
      </c>
      <c r="P324" s="1" t="s">
        <v>71</v>
      </c>
      <c r="Q324" s="1" t="s">
        <v>41</v>
      </c>
      <c r="R324" s="1" t="s">
        <v>42</v>
      </c>
    </row>
    <row r="325" spans="1:18" x14ac:dyDescent="0.25">
      <c r="A325" s="1" t="s">
        <v>454</v>
      </c>
      <c r="B325" s="1" t="s">
        <v>513</v>
      </c>
      <c r="C325" s="1" t="s">
        <v>632</v>
      </c>
      <c r="D325" s="1" t="s">
        <v>218</v>
      </c>
      <c r="E325">
        <v>49.989600000000003</v>
      </c>
      <c r="F325">
        <v>8.5661000000000005</v>
      </c>
      <c r="G325" s="1" t="s">
        <v>22</v>
      </c>
      <c r="H325" s="1" t="s">
        <v>23</v>
      </c>
      <c r="I325" s="1" t="s">
        <v>442</v>
      </c>
      <c r="J325" s="1" t="s">
        <v>45</v>
      </c>
      <c r="K325">
        <v>40</v>
      </c>
      <c r="L325">
        <v>323</v>
      </c>
      <c r="M325">
        <f t="shared" si="5"/>
        <v>12920</v>
      </c>
      <c r="N325" s="1" t="s">
        <v>283</v>
      </c>
      <c r="O325">
        <v>2017</v>
      </c>
      <c r="P325" s="1" t="s">
        <v>77</v>
      </c>
      <c r="Q325" s="1" t="s">
        <v>56</v>
      </c>
      <c r="R325" s="1" t="s">
        <v>57</v>
      </c>
    </row>
    <row r="326" spans="1:18" x14ac:dyDescent="0.25">
      <c r="A326" s="1" t="s">
        <v>454</v>
      </c>
      <c r="B326" s="1" t="s">
        <v>514</v>
      </c>
      <c r="C326" s="1" t="s">
        <v>515</v>
      </c>
      <c r="D326" s="1" t="s">
        <v>218</v>
      </c>
      <c r="E326">
        <v>50.984999999999999</v>
      </c>
      <c r="F326">
        <v>12.433299999999999</v>
      </c>
      <c r="G326" s="1" t="s">
        <v>22</v>
      </c>
      <c r="H326" s="1" t="s">
        <v>74</v>
      </c>
      <c r="I326" s="1" t="s">
        <v>353</v>
      </c>
      <c r="J326" s="1" t="s">
        <v>34</v>
      </c>
      <c r="K326">
        <v>2</v>
      </c>
      <c r="L326">
        <v>664</v>
      </c>
      <c r="M326">
        <f t="shared" si="5"/>
        <v>1328</v>
      </c>
      <c r="N326" s="1" t="s">
        <v>283</v>
      </c>
      <c r="O326">
        <v>2017</v>
      </c>
      <c r="P326" s="1" t="s">
        <v>60</v>
      </c>
      <c r="Q326" s="1" t="s">
        <v>28</v>
      </c>
      <c r="R326" s="1" t="s">
        <v>29</v>
      </c>
    </row>
    <row r="327" spans="1:18" x14ac:dyDescent="0.25">
      <c r="A327" s="1" t="s">
        <v>454</v>
      </c>
      <c r="B327" s="1" t="s">
        <v>516</v>
      </c>
      <c r="C327" s="1" t="s">
        <v>517</v>
      </c>
      <c r="D327" s="1" t="s">
        <v>218</v>
      </c>
      <c r="E327">
        <v>47.561100000000003</v>
      </c>
      <c r="F327">
        <v>7.7916999999999996</v>
      </c>
      <c r="G327" s="1" t="s">
        <v>22</v>
      </c>
      <c r="H327" s="1" t="s">
        <v>23</v>
      </c>
      <c r="I327" s="1" t="s">
        <v>518</v>
      </c>
      <c r="J327" s="1" t="s">
        <v>88</v>
      </c>
      <c r="K327">
        <v>5</v>
      </c>
      <c r="L327">
        <v>663</v>
      </c>
      <c r="M327">
        <f t="shared" si="5"/>
        <v>3315</v>
      </c>
      <c r="N327" s="1" t="s">
        <v>283</v>
      </c>
      <c r="O327">
        <v>2017</v>
      </c>
      <c r="P327" s="1" t="s">
        <v>71</v>
      </c>
      <c r="Q327" s="1" t="s">
        <v>41</v>
      </c>
      <c r="R327" s="1" t="s">
        <v>42</v>
      </c>
    </row>
    <row r="328" spans="1:18" x14ac:dyDescent="0.25">
      <c r="A328" s="1" t="s">
        <v>454</v>
      </c>
      <c r="B328" s="1" t="s">
        <v>519</v>
      </c>
      <c r="C328" s="1" t="s">
        <v>520</v>
      </c>
      <c r="D328" s="1" t="s">
        <v>218</v>
      </c>
      <c r="E328">
        <v>48.933300000000003</v>
      </c>
      <c r="F328">
        <v>8.4</v>
      </c>
      <c r="G328" s="1" t="s">
        <v>22</v>
      </c>
      <c r="H328" s="1" t="s">
        <v>74</v>
      </c>
      <c r="I328" s="1" t="s">
        <v>521</v>
      </c>
      <c r="J328" s="1" t="s">
        <v>25</v>
      </c>
      <c r="K328">
        <v>5</v>
      </c>
      <c r="L328">
        <v>678</v>
      </c>
      <c r="M328">
        <f t="shared" si="5"/>
        <v>3390</v>
      </c>
      <c r="N328" s="1" t="s">
        <v>156</v>
      </c>
      <c r="O328">
        <v>2017</v>
      </c>
      <c r="P328" s="1" t="s">
        <v>50</v>
      </c>
      <c r="Q328" s="1" t="s">
        <v>28</v>
      </c>
      <c r="R328" s="1" t="s">
        <v>29</v>
      </c>
    </row>
    <row r="329" spans="1:18" x14ac:dyDescent="0.25">
      <c r="A329" s="1" t="s">
        <v>454</v>
      </c>
      <c r="B329" s="1" t="s">
        <v>522</v>
      </c>
      <c r="C329" s="1" t="s">
        <v>633</v>
      </c>
      <c r="D329" s="1" t="s">
        <v>218</v>
      </c>
      <c r="E329">
        <v>51.219799999999999</v>
      </c>
      <c r="F329">
        <v>7.6273</v>
      </c>
      <c r="G329" s="1" t="s">
        <v>22</v>
      </c>
      <c r="H329" s="1" t="s">
        <v>23</v>
      </c>
      <c r="I329" s="1" t="s">
        <v>523</v>
      </c>
      <c r="J329" s="1" t="s">
        <v>117</v>
      </c>
      <c r="K329">
        <v>10</v>
      </c>
      <c r="L329">
        <v>459</v>
      </c>
      <c r="M329">
        <f t="shared" si="5"/>
        <v>4590</v>
      </c>
      <c r="N329" s="1" t="s">
        <v>283</v>
      </c>
      <c r="O329">
        <v>2017</v>
      </c>
      <c r="P329" s="1" t="s">
        <v>50</v>
      </c>
      <c r="Q329" s="1" t="s">
        <v>28</v>
      </c>
      <c r="R329" s="1" t="s">
        <v>29</v>
      </c>
    </row>
    <row r="330" spans="1:18" x14ac:dyDescent="0.25">
      <c r="A330" s="1" t="s">
        <v>454</v>
      </c>
      <c r="B330" s="1" t="s">
        <v>524</v>
      </c>
      <c r="C330" s="1" t="s">
        <v>525</v>
      </c>
      <c r="D330" s="1" t="s">
        <v>218</v>
      </c>
      <c r="E330">
        <v>50.383299999999998</v>
      </c>
      <c r="F330">
        <v>8.0667000000000009</v>
      </c>
      <c r="G330" s="1" t="s">
        <v>31</v>
      </c>
      <c r="H330" s="1" t="s">
        <v>32</v>
      </c>
      <c r="I330" s="1" t="s">
        <v>431</v>
      </c>
      <c r="J330" s="1" t="s">
        <v>117</v>
      </c>
      <c r="K330">
        <v>3</v>
      </c>
      <c r="L330">
        <v>705</v>
      </c>
      <c r="M330">
        <f t="shared" si="5"/>
        <v>2115</v>
      </c>
      <c r="N330" s="1" t="s">
        <v>283</v>
      </c>
      <c r="O330">
        <v>2017</v>
      </c>
      <c r="P330" s="1" t="s">
        <v>103</v>
      </c>
      <c r="Q330" s="1" t="s">
        <v>56</v>
      </c>
      <c r="R330" s="1" t="s">
        <v>57</v>
      </c>
    </row>
    <row r="331" spans="1:18" x14ac:dyDescent="0.25">
      <c r="A331" s="1" t="s">
        <v>454</v>
      </c>
      <c r="B331" s="1" t="s">
        <v>526</v>
      </c>
      <c r="C331" s="1" t="s">
        <v>527</v>
      </c>
      <c r="D331" s="1" t="s">
        <v>218</v>
      </c>
      <c r="E331">
        <v>51.526400000000002</v>
      </c>
      <c r="F331">
        <v>12.342499999999999</v>
      </c>
      <c r="G331" s="1" t="s">
        <v>31</v>
      </c>
      <c r="H331" s="1" t="s">
        <v>32</v>
      </c>
      <c r="I331" s="1" t="s">
        <v>313</v>
      </c>
      <c r="J331" s="1" t="s">
        <v>25</v>
      </c>
      <c r="K331">
        <v>20</v>
      </c>
      <c r="L331">
        <v>361</v>
      </c>
      <c r="M331">
        <f t="shared" si="5"/>
        <v>7220</v>
      </c>
      <c r="N331" s="1" t="s">
        <v>124</v>
      </c>
      <c r="O331">
        <v>2017</v>
      </c>
      <c r="P331" s="1" t="s">
        <v>60</v>
      </c>
      <c r="Q331" s="1" t="s">
        <v>28</v>
      </c>
      <c r="R331" s="1" t="s">
        <v>29</v>
      </c>
    </row>
    <row r="332" spans="1:18" x14ac:dyDescent="0.25">
      <c r="A332" s="1" t="s">
        <v>454</v>
      </c>
      <c r="B332" s="1" t="s">
        <v>528</v>
      </c>
      <c r="C332" s="1" t="s">
        <v>529</v>
      </c>
      <c r="D332" s="1" t="s">
        <v>218</v>
      </c>
      <c r="E332">
        <v>53.25</v>
      </c>
      <c r="F332">
        <v>7.9166999999999996</v>
      </c>
      <c r="G332" s="1" t="s">
        <v>22</v>
      </c>
      <c r="H332" s="1" t="s">
        <v>74</v>
      </c>
      <c r="I332" s="1" t="s">
        <v>530</v>
      </c>
      <c r="J332" s="1" t="s">
        <v>34</v>
      </c>
      <c r="K332">
        <v>7</v>
      </c>
      <c r="L332">
        <v>549</v>
      </c>
      <c r="M332">
        <f t="shared" si="5"/>
        <v>3843</v>
      </c>
      <c r="N332" s="1" t="s">
        <v>283</v>
      </c>
      <c r="O332">
        <v>2017</v>
      </c>
      <c r="P332" s="1" t="s">
        <v>81</v>
      </c>
      <c r="Q332" s="1" t="s">
        <v>41</v>
      </c>
      <c r="R332" s="1" t="s">
        <v>42</v>
      </c>
    </row>
    <row r="333" spans="1:18" x14ac:dyDescent="0.25">
      <c r="A333" s="1" t="s">
        <v>454</v>
      </c>
      <c r="B333" s="1" t="s">
        <v>531</v>
      </c>
      <c r="C333" s="1" t="s">
        <v>634</v>
      </c>
      <c r="D333" s="1" t="s">
        <v>218</v>
      </c>
      <c r="E333">
        <v>49.921399999999998</v>
      </c>
      <c r="F333">
        <v>8.4817999999999998</v>
      </c>
      <c r="G333" s="1" t="s">
        <v>22</v>
      </c>
      <c r="H333" s="1" t="s">
        <v>74</v>
      </c>
      <c r="I333" s="1" t="s">
        <v>187</v>
      </c>
      <c r="J333" s="1" t="s">
        <v>80</v>
      </c>
      <c r="K333">
        <v>2</v>
      </c>
      <c r="L333">
        <v>373</v>
      </c>
      <c r="M333">
        <f t="shared" si="5"/>
        <v>746</v>
      </c>
      <c r="N333" s="1" t="s">
        <v>283</v>
      </c>
      <c r="O333">
        <v>2017</v>
      </c>
      <c r="P333" s="1" t="s">
        <v>106</v>
      </c>
      <c r="Q333" s="1" t="s">
        <v>67</v>
      </c>
      <c r="R333" s="1" t="s">
        <v>68</v>
      </c>
    </row>
    <row r="334" spans="1:18" x14ac:dyDescent="0.25">
      <c r="A334" s="1" t="s">
        <v>454</v>
      </c>
      <c r="B334" s="1" t="s">
        <v>532</v>
      </c>
      <c r="C334" s="1" t="s">
        <v>533</v>
      </c>
      <c r="D334" s="1" t="s">
        <v>218</v>
      </c>
      <c r="E334">
        <v>49.323599999999999</v>
      </c>
      <c r="F334">
        <v>12.099299999999999</v>
      </c>
      <c r="G334" s="1" t="s">
        <v>31</v>
      </c>
      <c r="H334" s="1" t="s">
        <v>32</v>
      </c>
      <c r="I334" s="1" t="s">
        <v>534</v>
      </c>
      <c r="J334" s="1" t="s">
        <v>88</v>
      </c>
      <c r="K334">
        <v>-45</v>
      </c>
      <c r="L334">
        <v>303</v>
      </c>
      <c r="M334">
        <f t="shared" si="5"/>
        <v>-13635</v>
      </c>
      <c r="N334" s="1" t="s">
        <v>283</v>
      </c>
      <c r="O334">
        <v>2017</v>
      </c>
      <c r="P334" s="1" t="s">
        <v>55</v>
      </c>
      <c r="Q334" s="1" t="s">
        <v>56</v>
      </c>
      <c r="R334" s="1" t="s">
        <v>57</v>
      </c>
    </row>
    <row r="335" spans="1:18" x14ac:dyDescent="0.25">
      <c r="A335" s="1" t="s">
        <v>454</v>
      </c>
      <c r="B335" s="1" t="s">
        <v>535</v>
      </c>
      <c r="C335" s="1" t="s">
        <v>536</v>
      </c>
      <c r="D335" s="1" t="s">
        <v>218</v>
      </c>
      <c r="E335">
        <v>50.833300000000001</v>
      </c>
      <c r="F335">
        <v>12.916700000000001</v>
      </c>
      <c r="G335" s="1" t="s">
        <v>22</v>
      </c>
      <c r="H335" s="1" t="s">
        <v>74</v>
      </c>
      <c r="I335" s="1" t="s">
        <v>534</v>
      </c>
      <c r="J335" s="1" t="s">
        <v>88</v>
      </c>
      <c r="K335">
        <v>-72</v>
      </c>
      <c r="L335">
        <v>303</v>
      </c>
      <c r="M335">
        <f t="shared" si="5"/>
        <v>-21816</v>
      </c>
      <c r="N335" s="1" t="s">
        <v>283</v>
      </c>
      <c r="O335">
        <v>2017</v>
      </c>
      <c r="P335" s="1" t="s">
        <v>66</v>
      </c>
      <c r="Q335" s="1" t="s">
        <v>67</v>
      </c>
      <c r="R335" s="1" t="s">
        <v>68</v>
      </c>
    </row>
    <row r="336" spans="1:18" x14ac:dyDescent="0.25">
      <c r="A336" s="1" t="s">
        <v>454</v>
      </c>
      <c r="B336" s="1" t="s">
        <v>537</v>
      </c>
      <c r="C336" s="1" t="s">
        <v>538</v>
      </c>
      <c r="D336" s="1" t="s">
        <v>218</v>
      </c>
      <c r="E336">
        <v>51.238599999999998</v>
      </c>
      <c r="F336">
        <v>12.725300000000001</v>
      </c>
      <c r="G336" s="1" t="s">
        <v>22</v>
      </c>
      <c r="H336" s="1" t="s">
        <v>23</v>
      </c>
      <c r="I336" s="1" t="s">
        <v>121</v>
      </c>
      <c r="J336" s="1" t="s">
        <v>117</v>
      </c>
      <c r="K336">
        <v>117</v>
      </c>
      <c r="L336">
        <v>511</v>
      </c>
      <c r="M336">
        <f t="shared" si="5"/>
        <v>59787</v>
      </c>
      <c r="N336" s="1" t="s">
        <v>54</v>
      </c>
      <c r="O336">
        <v>2017</v>
      </c>
      <c r="P336" s="1" t="s">
        <v>66</v>
      </c>
      <c r="Q336" s="1" t="s">
        <v>67</v>
      </c>
      <c r="R336" s="1" t="s">
        <v>68</v>
      </c>
    </row>
    <row r="337" spans="1:18" x14ac:dyDescent="0.25">
      <c r="A337" s="1" t="s">
        <v>454</v>
      </c>
      <c r="B337" s="1" t="s">
        <v>539</v>
      </c>
      <c r="C337" s="1" t="s">
        <v>540</v>
      </c>
      <c r="D337" s="1" t="s">
        <v>218</v>
      </c>
      <c r="E337">
        <v>48.8</v>
      </c>
      <c r="F337">
        <v>9.5333000000000006</v>
      </c>
      <c r="G337" s="1" t="s">
        <v>31</v>
      </c>
      <c r="H337" s="1" t="s">
        <v>38</v>
      </c>
      <c r="I337" s="1" t="s">
        <v>196</v>
      </c>
      <c r="J337" s="1" t="s">
        <v>80</v>
      </c>
      <c r="K337">
        <v>3</v>
      </c>
      <c r="L337">
        <v>26</v>
      </c>
      <c r="M337">
        <f t="shared" si="5"/>
        <v>78</v>
      </c>
      <c r="N337" s="1" t="s">
        <v>283</v>
      </c>
      <c r="O337">
        <v>2017</v>
      </c>
      <c r="P337" s="1" t="s">
        <v>60</v>
      </c>
      <c r="Q337" s="1" t="s">
        <v>28</v>
      </c>
      <c r="R337" s="1" t="s">
        <v>29</v>
      </c>
    </row>
    <row r="338" spans="1:18" x14ac:dyDescent="0.25">
      <c r="A338" s="1"/>
      <c r="B338" s="1"/>
      <c r="C338" s="1"/>
      <c r="D338" s="1"/>
      <c r="G338" s="1"/>
      <c r="H338" s="1"/>
      <c r="I338" s="1"/>
      <c r="J338" s="1"/>
      <c r="N338" s="1"/>
      <c r="P338" s="1"/>
      <c r="Q338" s="1"/>
      <c r="R338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6973-D15E-4E23-9910-35502F8E8C7C}">
  <dimension ref="A1:R337"/>
  <sheetViews>
    <sheetView topLeftCell="F1" workbookViewId="0">
      <selection activeCell="B1" sqref="B1:R1"/>
    </sheetView>
  </sheetViews>
  <sheetFormatPr defaultRowHeight="15" x14ac:dyDescent="0.25"/>
  <cols>
    <col min="1" max="1" width="20.7109375" bestFit="1" customWidth="1"/>
    <col min="2" max="2" width="49.85546875" customWidth="1"/>
    <col min="3" max="3" width="20.85546875" customWidth="1"/>
    <col min="4" max="4" width="10.5703125" bestFit="1" customWidth="1"/>
    <col min="5" max="5" width="12.140625" bestFit="1" customWidth="1"/>
    <col min="6" max="6" width="10.5703125" bestFit="1" customWidth="1"/>
    <col min="7" max="7" width="14.28515625" bestFit="1" customWidth="1"/>
    <col min="8" max="8" width="25.28515625" bestFit="1" customWidth="1"/>
    <col min="9" max="9" width="15.85546875" bestFit="1" customWidth="1"/>
    <col min="10" max="10" width="11" bestFit="1" customWidth="1"/>
    <col min="11" max="11" width="7.7109375" bestFit="1" customWidth="1"/>
    <col min="12" max="12" width="7.85546875" bestFit="1" customWidth="1"/>
    <col min="13" max="13" width="10.85546875" bestFit="1" customWidth="1"/>
    <col min="14" max="14" width="7.28515625" bestFit="1" customWidth="1"/>
    <col min="15" max="15" width="20" bestFit="1" customWidth="1"/>
    <col min="16" max="16" width="15" bestFit="1" customWidth="1"/>
    <col min="17" max="17" width="1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s="1" t="s">
        <v>21</v>
      </c>
      <c r="E2">
        <v>51.2333</v>
      </c>
      <c r="F2">
        <v>22.566700000000001</v>
      </c>
      <c r="G2" t="s">
        <v>22</v>
      </c>
      <c r="H2" t="s">
        <v>23</v>
      </c>
      <c r="I2" t="s">
        <v>24</v>
      </c>
      <c r="J2" t="s">
        <v>25</v>
      </c>
      <c r="K2">
        <v>4</v>
      </c>
      <c r="L2">
        <v>368</v>
      </c>
      <c r="M2">
        <v>1472</v>
      </c>
      <c r="N2" s="1" t="s">
        <v>26</v>
      </c>
      <c r="O2">
        <v>2018</v>
      </c>
      <c r="P2" t="s">
        <v>27</v>
      </c>
      <c r="Q2" t="s">
        <v>28</v>
      </c>
      <c r="R2" t="s">
        <v>29</v>
      </c>
    </row>
    <row r="3" spans="1:18" x14ac:dyDescent="0.25">
      <c r="A3" t="s">
        <v>18</v>
      </c>
      <c r="B3" t="s">
        <v>30</v>
      </c>
      <c r="C3" t="s">
        <v>541</v>
      </c>
      <c r="D3" s="1" t="s">
        <v>21</v>
      </c>
      <c r="E3">
        <v>53.416699999999999</v>
      </c>
      <c r="F3">
        <v>18.433299999999999</v>
      </c>
      <c r="G3" t="s">
        <v>31</v>
      </c>
      <c r="H3" t="s">
        <v>32</v>
      </c>
      <c r="I3" t="s">
        <v>33</v>
      </c>
      <c r="J3" t="s">
        <v>34</v>
      </c>
      <c r="K3">
        <v>7</v>
      </c>
      <c r="L3">
        <v>591</v>
      </c>
      <c r="M3">
        <v>4137</v>
      </c>
      <c r="N3" s="1" t="s">
        <v>26</v>
      </c>
      <c r="O3">
        <v>2018</v>
      </c>
      <c r="P3" t="s">
        <v>35</v>
      </c>
      <c r="Q3" t="s">
        <v>28</v>
      </c>
      <c r="R3" t="s">
        <v>29</v>
      </c>
    </row>
    <row r="4" spans="1:18" x14ac:dyDescent="0.25">
      <c r="A4" t="s">
        <v>18</v>
      </c>
      <c r="B4" t="s">
        <v>36</v>
      </c>
      <c r="C4" t="s">
        <v>37</v>
      </c>
      <c r="D4" s="1" t="s">
        <v>21</v>
      </c>
      <c r="E4">
        <v>50.083300000000001</v>
      </c>
      <c r="F4">
        <v>18.5</v>
      </c>
      <c r="G4" t="s">
        <v>31</v>
      </c>
      <c r="H4" t="s">
        <v>38</v>
      </c>
      <c r="I4" t="s">
        <v>39</v>
      </c>
      <c r="J4" t="s">
        <v>34</v>
      </c>
      <c r="K4">
        <v>30</v>
      </c>
      <c r="L4">
        <v>66</v>
      </c>
      <c r="M4">
        <v>1980</v>
      </c>
      <c r="N4" s="1" t="s">
        <v>26</v>
      </c>
      <c r="O4">
        <v>2018</v>
      </c>
      <c r="P4" t="s">
        <v>40</v>
      </c>
      <c r="Q4" t="s">
        <v>41</v>
      </c>
      <c r="R4" t="s">
        <v>42</v>
      </c>
    </row>
    <row r="5" spans="1:18" x14ac:dyDescent="0.25">
      <c r="A5" t="s">
        <v>18</v>
      </c>
      <c r="B5" t="s">
        <v>43</v>
      </c>
      <c r="C5" t="s">
        <v>542</v>
      </c>
      <c r="D5" s="1" t="s">
        <v>21</v>
      </c>
      <c r="E5">
        <v>50.333300000000001</v>
      </c>
      <c r="F5">
        <v>19.083300000000001</v>
      </c>
      <c r="G5" t="s">
        <v>22</v>
      </c>
      <c r="H5" t="s">
        <v>23</v>
      </c>
      <c r="I5" t="s">
        <v>44</v>
      </c>
      <c r="J5" t="s">
        <v>45</v>
      </c>
      <c r="K5">
        <v>6</v>
      </c>
      <c r="L5">
        <v>435</v>
      </c>
      <c r="M5">
        <v>2610</v>
      </c>
      <c r="N5" s="1" t="s">
        <v>26</v>
      </c>
      <c r="O5">
        <v>2018</v>
      </c>
      <c r="P5" t="s">
        <v>27</v>
      </c>
      <c r="Q5" t="s">
        <v>28</v>
      </c>
      <c r="R5" t="s">
        <v>29</v>
      </c>
    </row>
    <row r="6" spans="1:18" x14ac:dyDescent="0.25">
      <c r="A6" t="s">
        <v>18</v>
      </c>
      <c r="B6" t="s">
        <v>46</v>
      </c>
      <c r="C6" t="s">
        <v>47</v>
      </c>
      <c r="D6" s="1" t="s">
        <v>21</v>
      </c>
      <c r="E6">
        <v>53.78</v>
      </c>
      <c r="F6">
        <v>20.494199999999999</v>
      </c>
      <c r="G6" t="s">
        <v>31</v>
      </c>
      <c r="H6" t="s">
        <v>32</v>
      </c>
      <c r="I6" t="s">
        <v>48</v>
      </c>
      <c r="J6" t="s">
        <v>45</v>
      </c>
      <c r="K6">
        <v>20</v>
      </c>
      <c r="L6">
        <v>458</v>
      </c>
      <c r="M6">
        <v>9160</v>
      </c>
      <c r="N6" s="1" t="s">
        <v>49</v>
      </c>
      <c r="O6">
        <v>2018</v>
      </c>
      <c r="P6" t="s">
        <v>50</v>
      </c>
      <c r="Q6" t="s">
        <v>28</v>
      </c>
      <c r="R6" t="s">
        <v>29</v>
      </c>
    </row>
    <row r="7" spans="1:18" x14ac:dyDescent="0.25">
      <c r="A7" t="s">
        <v>18</v>
      </c>
      <c r="B7" t="s">
        <v>51</v>
      </c>
      <c r="C7" t="s">
        <v>52</v>
      </c>
      <c r="D7" s="1" t="s">
        <v>21</v>
      </c>
      <c r="E7">
        <v>54.033299999999997</v>
      </c>
      <c r="F7">
        <v>22.5</v>
      </c>
      <c r="G7" t="s">
        <v>22</v>
      </c>
      <c r="H7" t="s">
        <v>23</v>
      </c>
      <c r="I7" t="s">
        <v>53</v>
      </c>
      <c r="J7" t="s">
        <v>25</v>
      </c>
      <c r="K7">
        <v>5</v>
      </c>
      <c r="L7">
        <v>123</v>
      </c>
      <c r="M7">
        <v>615</v>
      </c>
      <c r="N7" s="1" t="s">
        <v>54</v>
      </c>
      <c r="O7">
        <v>2018</v>
      </c>
      <c r="P7" t="s">
        <v>55</v>
      </c>
      <c r="Q7" t="s">
        <v>56</v>
      </c>
      <c r="R7" t="s">
        <v>57</v>
      </c>
    </row>
    <row r="8" spans="1:18" x14ac:dyDescent="0.25">
      <c r="A8" t="s">
        <v>18</v>
      </c>
      <c r="B8" t="s">
        <v>58</v>
      </c>
      <c r="C8" t="s">
        <v>543</v>
      </c>
      <c r="D8" s="1" t="s">
        <v>21</v>
      </c>
      <c r="E8">
        <v>52.7958</v>
      </c>
      <c r="F8">
        <v>18.261099999999999</v>
      </c>
      <c r="G8" t="s">
        <v>31</v>
      </c>
      <c r="H8" t="s">
        <v>32</v>
      </c>
      <c r="I8" t="s">
        <v>59</v>
      </c>
      <c r="J8" t="s">
        <v>45</v>
      </c>
      <c r="K8">
        <v>20</v>
      </c>
      <c r="L8">
        <v>536</v>
      </c>
      <c r="M8">
        <v>10</v>
      </c>
      <c r="N8" s="1" t="s">
        <v>26</v>
      </c>
      <c r="O8">
        <v>2018</v>
      </c>
      <c r="P8" t="s">
        <v>60</v>
      </c>
      <c r="Q8" t="s">
        <v>28</v>
      </c>
      <c r="R8" t="s">
        <v>29</v>
      </c>
    </row>
    <row r="9" spans="1:18" x14ac:dyDescent="0.25">
      <c r="A9" t="s">
        <v>18</v>
      </c>
      <c r="B9" t="s">
        <v>61</v>
      </c>
      <c r="C9" t="s">
        <v>544</v>
      </c>
      <c r="D9" s="1" t="s">
        <v>21</v>
      </c>
      <c r="E9">
        <v>52.881700000000002</v>
      </c>
      <c r="F9">
        <v>20.610600000000002</v>
      </c>
      <c r="G9" t="s">
        <v>31</v>
      </c>
      <c r="H9" t="s">
        <v>32</v>
      </c>
      <c r="I9" t="s">
        <v>62</v>
      </c>
      <c r="J9" t="s">
        <v>25</v>
      </c>
      <c r="K9">
        <v>5</v>
      </c>
      <c r="L9">
        <v>742</v>
      </c>
      <c r="M9">
        <v>3710</v>
      </c>
      <c r="N9" s="1" t="s">
        <v>26</v>
      </c>
      <c r="O9">
        <v>2018</v>
      </c>
      <c r="P9" t="s">
        <v>27</v>
      </c>
      <c r="Q9" t="s">
        <v>28</v>
      </c>
      <c r="R9" t="s">
        <v>29</v>
      </c>
    </row>
    <row r="10" spans="1:18" x14ac:dyDescent="0.25">
      <c r="A10" t="s">
        <v>18</v>
      </c>
      <c r="B10" t="s">
        <v>63</v>
      </c>
      <c r="C10" t="s">
        <v>64</v>
      </c>
      <c r="D10" s="1" t="s">
        <v>21</v>
      </c>
      <c r="E10">
        <v>53.3583</v>
      </c>
      <c r="F10">
        <v>20.425000000000001</v>
      </c>
      <c r="G10" t="s">
        <v>22</v>
      </c>
      <c r="H10" t="s">
        <v>23</v>
      </c>
      <c r="I10" t="s">
        <v>65</v>
      </c>
      <c r="J10" t="s">
        <v>25</v>
      </c>
      <c r="K10">
        <v>4</v>
      </c>
      <c r="L10">
        <v>551</v>
      </c>
      <c r="N10" s="1" t="s">
        <v>26</v>
      </c>
      <c r="O10">
        <v>2018</v>
      </c>
      <c r="P10" t="s">
        <v>66</v>
      </c>
      <c r="Q10" t="s">
        <v>67</v>
      </c>
      <c r="R10" t="s">
        <v>68</v>
      </c>
    </row>
    <row r="11" spans="1:18" x14ac:dyDescent="0.25">
      <c r="A11" t="s">
        <v>18</v>
      </c>
      <c r="B11" t="s">
        <v>69</v>
      </c>
      <c r="C11" t="s">
        <v>545</v>
      </c>
      <c r="D11" s="1" t="s">
        <v>21</v>
      </c>
      <c r="E11">
        <v>50.061399999999999</v>
      </c>
      <c r="F11">
        <v>19.937200000000001</v>
      </c>
      <c r="G11" t="s">
        <v>22</v>
      </c>
      <c r="H11" t="s">
        <v>23</v>
      </c>
      <c r="I11" t="s">
        <v>70</v>
      </c>
      <c r="J11" t="s">
        <v>45</v>
      </c>
      <c r="K11">
        <v>10</v>
      </c>
      <c r="L11">
        <v>243</v>
      </c>
      <c r="M11">
        <v>2430</v>
      </c>
      <c r="N11" s="1" t="s">
        <v>26</v>
      </c>
      <c r="O11">
        <v>2018</v>
      </c>
      <c r="P11" t="s">
        <v>71</v>
      </c>
      <c r="Q11" t="s">
        <v>41</v>
      </c>
      <c r="R11" t="s">
        <v>42</v>
      </c>
    </row>
    <row r="12" spans="1:18" x14ac:dyDescent="0.25">
      <c r="A12" t="s">
        <v>18</v>
      </c>
      <c r="B12" t="s">
        <v>72</v>
      </c>
      <c r="C12" t="s">
        <v>73</v>
      </c>
      <c r="D12" s="1" t="s">
        <v>21</v>
      </c>
      <c r="E12">
        <v>51.95</v>
      </c>
      <c r="F12">
        <v>14.7333</v>
      </c>
      <c r="G12" t="s">
        <v>22</v>
      </c>
      <c r="H12" t="s">
        <v>74</v>
      </c>
      <c r="I12" t="s">
        <v>75</v>
      </c>
      <c r="J12" t="s">
        <v>25</v>
      </c>
      <c r="K12">
        <v>35</v>
      </c>
      <c r="L12">
        <v>762</v>
      </c>
      <c r="M12">
        <v>26670</v>
      </c>
      <c r="N12" s="1" t="s">
        <v>76</v>
      </c>
      <c r="O12">
        <v>2018</v>
      </c>
      <c r="P12" t="s">
        <v>77</v>
      </c>
      <c r="Q12" t="s">
        <v>56</v>
      </c>
      <c r="R12" t="s">
        <v>57</v>
      </c>
    </row>
    <row r="13" spans="1:18" x14ac:dyDescent="0.25">
      <c r="A13" t="s">
        <v>18</v>
      </c>
      <c r="B13" t="s">
        <v>78</v>
      </c>
      <c r="C13" t="s">
        <v>546</v>
      </c>
      <c r="D13" s="1" t="s">
        <v>21</v>
      </c>
      <c r="E13">
        <v>52.8</v>
      </c>
      <c r="F13">
        <v>21.9</v>
      </c>
      <c r="G13" t="s">
        <v>31</v>
      </c>
      <c r="H13" t="s">
        <v>38</v>
      </c>
      <c r="I13" t="s">
        <v>79</v>
      </c>
      <c r="J13" t="s">
        <v>80</v>
      </c>
      <c r="K13">
        <v>4</v>
      </c>
      <c r="L13">
        <v>249</v>
      </c>
      <c r="M13">
        <v>996</v>
      </c>
      <c r="N13" s="1" t="s">
        <v>26</v>
      </c>
      <c r="O13">
        <v>2018</v>
      </c>
      <c r="P13" t="s">
        <v>81</v>
      </c>
      <c r="Q13" t="s">
        <v>41</v>
      </c>
      <c r="R13" t="s">
        <v>42</v>
      </c>
    </row>
    <row r="14" spans="1:18" x14ac:dyDescent="0.25">
      <c r="A14" t="s">
        <v>18</v>
      </c>
      <c r="B14" t="s">
        <v>82</v>
      </c>
      <c r="C14" t="s">
        <v>83</v>
      </c>
      <c r="D14" s="1" t="s">
        <v>21</v>
      </c>
      <c r="E14">
        <v>51.403599999999997</v>
      </c>
      <c r="F14">
        <v>21.156700000000001</v>
      </c>
      <c r="G14" t="s">
        <v>22</v>
      </c>
      <c r="H14" t="s">
        <v>23</v>
      </c>
      <c r="I14" t="s">
        <v>84</v>
      </c>
      <c r="J14" t="s">
        <v>25</v>
      </c>
      <c r="K14">
        <v>5</v>
      </c>
      <c r="L14">
        <v>785</v>
      </c>
      <c r="M14">
        <v>3925</v>
      </c>
      <c r="N14" s="1" t="s">
        <v>85</v>
      </c>
      <c r="O14">
        <v>2018</v>
      </c>
      <c r="P14" t="s">
        <v>81</v>
      </c>
      <c r="Q14" t="s">
        <v>41</v>
      </c>
      <c r="R14" t="s">
        <v>42</v>
      </c>
    </row>
    <row r="15" spans="1:18" x14ac:dyDescent="0.25">
      <c r="A15" t="s">
        <v>18</v>
      </c>
      <c r="B15" t="s">
        <v>86</v>
      </c>
      <c r="C15" t="s">
        <v>547</v>
      </c>
      <c r="D15" s="1" t="s">
        <v>21</v>
      </c>
      <c r="E15">
        <v>54.366700000000002</v>
      </c>
      <c r="F15">
        <v>18.633299999999998</v>
      </c>
      <c r="G15" t="s">
        <v>31</v>
      </c>
      <c r="H15" t="s">
        <v>32</v>
      </c>
      <c r="I15" t="s">
        <v>87</v>
      </c>
      <c r="J15" t="s">
        <v>88</v>
      </c>
      <c r="K15">
        <v>6</v>
      </c>
      <c r="L15">
        <v>286</v>
      </c>
      <c r="M15">
        <v>1716</v>
      </c>
      <c r="N15" s="1" t="s">
        <v>76</v>
      </c>
      <c r="O15">
        <v>2018</v>
      </c>
      <c r="P15" t="s">
        <v>35</v>
      </c>
      <c r="Q15" t="s">
        <v>28</v>
      </c>
      <c r="R15" t="s">
        <v>29</v>
      </c>
    </row>
    <row r="16" spans="1:18" x14ac:dyDescent="0.25">
      <c r="A16" t="s">
        <v>18</v>
      </c>
      <c r="B16" t="s">
        <v>89</v>
      </c>
      <c r="C16" t="s">
        <v>548</v>
      </c>
      <c r="D16" s="1" t="s">
        <v>21</v>
      </c>
      <c r="E16">
        <v>50.45</v>
      </c>
      <c r="F16">
        <v>18.866700000000002</v>
      </c>
      <c r="G16" t="s">
        <v>22</v>
      </c>
      <c r="H16" t="s">
        <v>23</v>
      </c>
      <c r="I16" t="s">
        <v>90</v>
      </c>
      <c r="J16" t="s">
        <v>88</v>
      </c>
      <c r="K16">
        <v>7</v>
      </c>
      <c r="L16">
        <v>487</v>
      </c>
      <c r="M16">
        <v>3409</v>
      </c>
      <c r="N16" s="1" t="s">
        <v>26</v>
      </c>
      <c r="O16">
        <v>2018</v>
      </c>
      <c r="P16" t="s">
        <v>50</v>
      </c>
      <c r="Q16" t="s">
        <v>28</v>
      </c>
      <c r="R16" t="s">
        <v>29</v>
      </c>
    </row>
    <row r="17" spans="1:18" x14ac:dyDescent="0.25">
      <c r="A17" t="s">
        <v>18</v>
      </c>
      <c r="B17" t="s">
        <v>91</v>
      </c>
      <c r="C17" t="s">
        <v>549</v>
      </c>
      <c r="D17" s="1" t="s">
        <v>21</v>
      </c>
      <c r="E17">
        <v>50.15</v>
      </c>
      <c r="F17">
        <v>18.833300000000001</v>
      </c>
      <c r="G17" t="s">
        <v>22</v>
      </c>
      <c r="H17" t="s">
        <v>23</v>
      </c>
      <c r="I17" t="s">
        <v>92</v>
      </c>
      <c r="J17" t="s">
        <v>45</v>
      </c>
      <c r="K17">
        <v>5</v>
      </c>
      <c r="L17">
        <v>605</v>
      </c>
      <c r="M17">
        <v>3025</v>
      </c>
      <c r="N17" s="1" t="s">
        <v>26</v>
      </c>
      <c r="O17">
        <v>2018</v>
      </c>
      <c r="P17" t="s">
        <v>71</v>
      </c>
      <c r="Q17" t="s">
        <v>41</v>
      </c>
      <c r="R17" t="s">
        <v>42</v>
      </c>
    </row>
    <row r="18" spans="1:18" x14ac:dyDescent="0.25">
      <c r="A18" t="s">
        <v>18</v>
      </c>
      <c r="B18" t="s">
        <v>93</v>
      </c>
      <c r="C18" t="s">
        <v>550</v>
      </c>
      <c r="D18" s="1" t="s">
        <v>21</v>
      </c>
      <c r="E18">
        <v>52.8</v>
      </c>
      <c r="F18">
        <v>17.2</v>
      </c>
      <c r="G18" t="s">
        <v>22</v>
      </c>
      <c r="H18" t="s">
        <v>23</v>
      </c>
      <c r="I18" t="s">
        <v>94</v>
      </c>
      <c r="J18" t="s">
        <v>88</v>
      </c>
      <c r="K18">
        <v>5</v>
      </c>
      <c r="L18">
        <v>548</v>
      </c>
      <c r="M18">
        <v>2</v>
      </c>
      <c r="N18" s="1" t="s">
        <v>85</v>
      </c>
      <c r="O18">
        <v>2018</v>
      </c>
      <c r="P18" t="s">
        <v>95</v>
      </c>
      <c r="Q18" t="s">
        <v>67</v>
      </c>
      <c r="R18" t="s">
        <v>68</v>
      </c>
    </row>
    <row r="19" spans="1:18" x14ac:dyDescent="0.25">
      <c r="A19" t="s">
        <v>18</v>
      </c>
      <c r="B19" t="s">
        <v>96</v>
      </c>
      <c r="C19" t="s">
        <v>551</v>
      </c>
      <c r="D19" s="1" t="s">
        <v>21</v>
      </c>
      <c r="E19">
        <v>51.116700000000002</v>
      </c>
      <c r="F19">
        <v>15.583299999999999</v>
      </c>
      <c r="G19" t="s">
        <v>22</v>
      </c>
      <c r="H19" t="s">
        <v>23</v>
      </c>
      <c r="I19" t="s">
        <v>97</v>
      </c>
      <c r="J19" t="s">
        <v>80</v>
      </c>
      <c r="K19">
        <v>30</v>
      </c>
      <c r="L19">
        <v>288</v>
      </c>
      <c r="M19">
        <v>8640</v>
      </c>
      <c r="N19" s="1" t="s">
        <v>26</v>
      </c>
      <c r="O19">
        <v>2018</v>
      </c>
      <c r="P19" t="s">
        <v>71</v>
      </c>
      <c r="Q19" t="s">
        <v>41</v>
      </c>
      <c r="R19" t="s">
        <v>42</v>
      </c>
    </row>
    <row r="20" spans="1:18" x14ac:dyDescent="0.25">
      <c r="A20" t="s">
        <v>18</v>
      </c>
      <c r="B20" t="s">
        <v>98</v>
      </c>
      <c r="C20" t="s">
        <v>552</v>
      </c>
      <c r="D20" s="1" t="s">
        <v>21</v>
      </c>
      <c r="E20">
        <v>51.126399999999997</v>
      </c>
      <c r="F20">
        <v>15.9198</v>
      </c>
      <c r="G20" t="s">
        <v>31</v>
      </c>
      <c r="H20" t="s">
        <v>38</v>
      </c>
      <c r="I20" t="s">
        <v>99</v>
      </c>
      <c r="J20" t="s">
        <v>45</v>
      </c>
      <c r="K20">
        <v>2</v>
      </c>
      <c r="L20">
        <v>414</v>
      </c>
      <c r="M20">
        <v>828</v>
      </c>
      <c r="N20" s="1" t="s">
        <v>26</v>
      </c>
      <c r="O20">
        <v>2018</v>
      </c>
      <c r="P20" t="s">
        <v>50</v>
      </c>
      <c r="Q20" t="s">
        <v>28</v>
      </c>
      <c r="R20" t="s">
        <v>29</v>
      </c>
    </row>
    <row r="21" spans="1:18" x14ac:dyDescent="0.25">
      <c r="A21" t="s">
        <v>18</v>
      </c>
      <c r="B21" t="s">
        <v>100</v>
      </c>
      <c r="C21" t="s">
        <v>101</v>
      </c>
      <c r="D21" s="1" t="s">
        <v>21</v>
      </c>
      <c r="E21">
        <v>53.864699999999999</v>
      </c>
      <c r="F21">
        <v>20.956900000000001</v>
      </c>
      <c r="G21" t="s">
        <v>31</v>
      </c>
      <c r="H21" t="s">
        <v>32</v>
      </c>
      <c r="I21" t="s">
        <v>102</v>
      </c>
      <c r="J21" t="s">
        <v>80</v>
      </c>
      <c r="K21">
        <v>2</v>
      </c>
      <c r="L21">
        <v>307</v>
      </c>
      <c r="M21">
        <v>614</v>
      </c>
      <c r="N21" s="1" t="s">
        <v>26</v>
      </c>
      <c r="O21">
        <v>2018</v>
      </c>
      <c r="P21" t="s">
        <v>103</v>
      </c>
      <c r="Q21" t="s">
        <v>56</v>
      </c>
      <c r="R21" t="s">
        <v>57</v>
      </c>
    </row>
    <row r="22" spans="1:18" x14ac:dyDescent="0.25">
      <c r="A22" t="s">
        <v>18</v>
      </c>
      <c r="B22" t="s">
        <v>104</v>
      </c>
      <c r="C22" t="s">
        <v>553</v>
      </c>
      <c r="D22" s="1" t="s">
        <v>21</v>
      </c>
      <c r="E22">
        <v>50.55</v>
      </c>
      <c r="F22">
        <v>22.7333</v>
      </c>
      <c r="G22" t="s">
        <v>31</v>
      </c>
      <c r="H22" t="s">
        <v>38</v>
      </c>
      <c r="I22" t="s">
        <v>105</v>
      </c>
      <c r="J22" t="s">
        <v>88</v>
      </c>
      <c r="K22">
        <v>5</v>
      </c>
      <c r="L22">
        <v>421</v>
      </c>
      <c r="M22">
        <v>2105</v>
      </c>
      <c r="N22" s="1" t="s">
        <v>49</v>
      </c>
      <c r="O22">
        <v>2018</v>
      </c>
      <c r="P22" t="s">
        <v>106</v>
      </c>
      <c r="Q22" t="s">
        <v>67</v>
      </c>
      <c r="R22" t="s">
        <v>68</v>
      </c>
    </row>
    <row r="23" spans="1:18" x14ac:dyDescent="0.25">
      <c r="A23" t="s">
        <v>18</v>
      </c>
      <c r="B23" t="s">
        <v>107</v>
      </c>
      <c r="C23" t="s">
        <v>108</v>
      </c>
      <c r="D23" s="1" t="s">
        <v>21</v>
      </c>
      <c r="E23">
        <v>53.833300000000001</v>
      </c>
      <c r="F23">
        <v>18.833300000000001</v>
      </c>
      <c r="G23" t="s">
        <v>31</v>
      </c>
      <c r="H23" t="s">
        <v>32</v>
      </c>
      <c r="I23" t="s">
        <v>109</v>
      </c>
      <c r="J23" t="s">
        <v>80</v>
      </c>
      <c r="K23">
        <v>20</v>
      </c>
      <c r="L23">
        <v>765</v>
      </c>
      <c r="M23">
        <v>15300</v>
      </c>
      <c r="N23" s="1" t="s">
        <v>26</v>
      </c>
      <c r="O23">
        <v>2018</v>
      </c>
      <c r="P23" t="s">
        <v>81</v>
      </c>
      <c r="Q23" t="s">
        <v>41</v>
      </c>
      <c r="R23" t="s">
        <v>42</v>
      </c>
    </row>
    <row r="24" spans="1:18" x14ac:dyDescent="0.25">
      <c r="A24" t="s">
        <v>18</v>
      </c>
      <c r="B24" t="s">
        <v>110</v>
      </c>
      <c r="C24" t="s">
        <v>554</v>
      </c>
      <c r="D24" s="1" t="s">
        <v>21</v>
      </c>
      <c r="E24">
        <v>51.2667</v>
      </c>
      <c r="F24">
        <v>15.566700000000001</v>
      </c>
      <c r="G24" t="s">
        <v>31</v>
      </c>
      <c r="H24" t="s">
        <v>32</v>
      </c>
      <c r="I24" t="s">
        <v>111</v>
      </c>
      <c r="J24" t="s">
        <v>34</v>
      </c>
      <c r="K24">
        <v>5</v>
      </c>
      <c r="L24">
        <v>215</v>
      </c>
      <c r="M24">
        <v>1075</v>
      </c>
      <c r="N24" s="1" t="s">
        <v>26</v>
      </c>
      <c r="O24">
        <v>2018</v>
      </c>
      <c r="P24" t="s">
        <v>35</v>
      </c>
      <c r="Q24" t="s">
        <v>28</v>
      </c>
      <c r="R24" t="s">
        <v>29</v>
      </c>
    </row>
    <row r="25" spans="1:18" x14ac:dyDescent="0.25">
      <c r="A25" t="s">
        <v>18</v>
      </c>
      <c r="B25" t="s">
        <v>112</v>
      </c>
      <c r="C25" t="s">
        <v>555</v>
      </c>
      <c r="D25" s="1" t="s">
        <v>21</v>
      </c>
      <c r="E25">
        <v>50.843800000000002</v>
      </c>
      <c r="F25">
        <v>16.488600000000002</v>
      </c>
      <c r="G25" t="s">
        <v>31</v>
      </c>
      <c r="H25" t="s">
        <v>38</v>
      </c>
      <c r="I25" t="s">
        <v>113</v>
      </c>
      <c r="J25" t="s">
        <v>80</v>
      </c>
      <c r="K25">
        <v>26</v>
      </c>
      <c r="L25">
        <v>689</v>
      </c>
      <c r="M25">
        <v>0</v>
      </c>
      <c r="N25" s="1" t="s">
        <v>26</v>
      </c>
      <c r="O25">
        <v>2018</v>
      </c>
      <c r="P25" t="s">
        <v>71</v>
      </c>
      <c r="Q25" t="s">
        <v>41</v>
      </c>
      <c r="R25" t="s">
        <v>42</v>
      </c>
    </row>
    <row r="26" spans="1:18" x14ac:dyDescent="0.25">
      <c r="A26" t="s">
        <v>18</v>
      </c>
      <c r="B26" t="s">
        <v>114</v>
      </c>
      <c r="C26" t="s">
        <v>556</v>
      </c>
      <c r="D26" s="1" t="s">
        <v>21</v>
      </c>
      <c r="E26">
        <v>52.183300000000003</v>
      </c>
      <c r="F26">
        <v>20.85</v>
      </c>
      <c r="G26" t="s">
        <v>22</v>
      </c>
      <c r="H26" t="s">
        <v>23</v>
      </c>
      <c r="I26" t="s">
        <v>53</v>
      </c>
      <c r="J26" t="s">
        <v>25</v>
      </c>
      <c r="K26">
        <v>16</v>
      </c>
      <c r="L26">
        <v>123</v>
      </c>
      <c r="M26">
        <v>1968</v>
      </c>
      <c r="N26" s="1" t="s">
        <v>26</v>
      </c>
      <c r="O26">
        <v>2018</v>
      </c>
      <c r="P26" t="s">
        <v>66</v>
      </c>
      <c r="Q26" t="s">
        <v>67</v>
      </c>
      <c r="R26" t="s">
        <v>68</v>
      </c>
    </row>
    <row r="27" spans="1:18" x14ac:dyDescent="0.25">
      <c r="A27" t="s">
        <v>18</v>
      </c>
      <c r="B27" t="s">
        <v>115</v>
      </c>
      <c r="C27" t="s">
        <v>557</v>
      </c>
      <c r="D27" s="1" t="s">
        <v>21</v>
      </c>
      <c r="E27">
        <v>51.776899999999998</v>
      </c>
      <c r="F27">
        <v>19.454699999999999</v>
      </c>
      <c r="G27" t="s">
        <v>31</v>
      </c>
      <c r="H27" t="s">
        <v>32</v>
      </c>
      <c r="I27" t="s">
        <v>116</v>
      </c>
      <c r="J27" t="s">
        <v>117</v>
      </c>
      <c r="K27">
        <v>35</v>
      </c>
      <c r="L27">
        <v>24</v>
      </c>
      <c r="M27">
        <v>840</v>
      </c>
      <c r="N27" s="1" t="s">
        <v>26</v>
      </c>
      <c r="O27">
        <v>2018</v>
      </c>
      <c r="P27" t="s">
        <v>66</v>
      </c>
      <c r="Q27" t="s">
        <v>67</v>
      </c>
      <c r="R27" t="s">
        <v>68</v>
      </c>
    </row>
    <row r="28" spans="1:18" x14ac:dyDescent="0.25">
      <c r="A28" t="s">
        <v>18</v>
      </c>
      <c r="B28" t="s">
        <v>118</v>
      </c>
      <c r="C28" t="s">
        <v>558</v>
      </c>
      <c r="D28" s="1" t="s">
        <v>21</v>
      </c>
      <c r="E28">
        <v>50.05</v>
      </c>
      <c r="F28">
        <v>22</v>
      </c>
      <c r="G28" t="s">
        <v>31</v>
      </c>
      <c r="H28" t="s">
        <v>38</v>
      </c>
      <c r="I28" t="s">
        <v>119</v>
      </c>
      <c r="J28" t="s">
        <v>80</v>
      </c>
      <c r="K28">
        <v>2</v>
      </c>
      <c r="L28">
        <v>502</v>
      </c>
      <c r="M28">
        <v>1004</v>
      </c>
      <c r="N28" s="1" t="s">
        <v>26</v>
      </c>
      <c r="O28">
        <v>2018</v>
      </c>
      <c r="P28" t="s">
        <v>95</v>
      </c>
      <c r="Q28" t="s">
        <v>67</v>
      </c>
      <c r="R28" t="s">
        <v>68</v>
      </c>
    </row>
    <row r="29" spans="1:18" x14ac:dyDescent="0.25">
      <c r="A29" t="s">
        <v>18</v>
      </c>
      <c r="B29" t="s">
        <v>120</v>
      </c>
      <c r="C29" t="s">
        <v>559</v>
      </c>
      <c r="D29" s="1" t="s">
        <v>21</v>
      </c>
      <c r="E29">
        <v>50.1556</v>
      </c>
      <c r="F29">
        <v>23.123000000000001</v>
      </c>
      <c r="G29" t="s">
        <v>31</v>
      </c>
      <c r="H29" t="s">
        <v>38</v>
      </c>
      <c r="I29" t="s">
        <v>121</v>
      </c>
      <c r="J29" t="s">
        <v>117</v>
      </c>
      <c r="K29">
        <v>3</v>
      </c>
      <c r="L29">
        <v>511</v>
      </c>
      <c r="M29">
        <v>1533</v>
      </c>
      <c r="N29" s="1" t="s">
        <v>26</v>
      </c>
      <c r="O29">
        <v>2018</v>
      </c>
      <c r="P29" t="s">
        <v>35</v>
      </c>
      <c r="Q29" t="s">
        <v>28</v>
      </c>
      <c r="R29" t="s">
        <v>29</v>
      </c>
    </row>
    <row r="30" spans="1:18" x14ac:dyDescent="0.25">
      <c r="A30" t="s">
        <v>18</v>
      </c>
      <c r="B30" t="s">
        <v>122</v>
      </c>
      <c r="C30" t="s">
        <v>560</v>
      </c>
      <c r="D30" s="1" t="s">
        <v>21</v>
      </c>
      <c r="E30">
        <v>51.2333</v>
      </c>
      <c r="F30">
        <v>22.7</v>
      </c>
      <c r="G30" t="s">
        <v>31</v>
      </c>
      <c r="H30" t="s">
        <v>38</v>
      </c>
      <c r="I30" t="s">
        <v>123</v>
      </c>
      <c r="J30" t="s">
        <v>25</v>
      </c>
      <c r="K30">
        <v>50</v>
      </c>
      <c r="L30">
        <v>653</v>
      </c>
      <c r="M30">
        <v>1</v>
      </c>
      <c r="N30" s="1" t="s">
        <v>124</v>
      </c>
      <c r="O30">
        <v>2018</v>
      </c>
      <c r="P30" t="s">
        <v>81</v>
      </c>
      <c r="Q30" t="s">
        <v>41</v>
      </c>
      <c r="R30" t="s">
        <v>42</v>
      </c>
    </row>
    <row r="31" spans="1:18" x14ac:dyDescent="0.25">
      <c r="A31" t="s">
        <v>18</v>
      </c>
      <c r="B31" t="s">
        <v>72</v>
      </c>
      <c r="C31" t="s">
        <v>73</v>
      </c>
      <c r="D31" s="1" t="s">
        <v>21</v>
      </c>
      <c r="E31">
        <v>51.95</v>
      </c>
      <c r="F31">
        <v>14.7333</v>
      </c>
      <c r="G31" t="s">
        <v>22</v>
      </c>
      <c r="H31" t="s">
        <v>74</v>
      </c>
      <c r="I31" t="s">
        <v>125</v>
      </c>
      <c r="J31" t="s">
        <v>45</v>
      </c>
      <c r="K31">
        <v>6</v>
      </c>
      <c r="L31">
        <v>191</v>
      </c>
      <c r="M31">
        <v>1146</v>
      </c>
      <c r="N31" s="1" t="s">
        <v>26</v>
      </c>
      <c r="O31">
        <v>2018</v>
      </c>
      <c r="P31" t="s">
        <v>60</v>
      </c>
      <c r="Q31" t="s">
        <v>28</v>
      </c>
      <c r="R31" t="s">
        <v>29</v>
      </c>
    </row>
    <row r="32" spans="1:18" x14ac:dyDescent="0.25">
      <c r="A32" t="s">
        <v>18</v>
      </c>
      <c r="B32" t="s">
        <v>126</v>
      </c>
      <c r="C32" t="s">
        <v>127</v>
      </c>
      <c r="D32" s="1" t="s">
        <v>21</v>
      </c>
      <c r="E32">
        <v>50.475099999999998</v>
      </c>
      <c r="F32">
        <v>17.965399999999999</v>
      </c>
      <c r="G32" t="s">
        <v>31</v>
      </c>
      <c r="H32" t="s">
        <v>38</v>
      </c>
      <c r="I32" t="s">
        <v>128</v>
      </c>
      <c r="J32" t="s">
        <v>80</v>
      </c>
      <c r="K32">
        <v>4</v>
      </c>
      <c r="L32">
        <v>692</v>
      </c>
      <c r="M32">
        <v>2768</v>
      </c>
      <c r="N32" s="1" t="s">
        <v>26</v>
      </c>
      <c r="O32">
        <v>2018</v>
      </c>
      <c r="P32" t="s">
        <v>95</v>
      </c>
      <c r="Q32" t="s">
        <v>67</v>
      </c>
      <c r="R32" t="s">
        <v>68</v>
      </c>
    </row>
    <row r="33" spans="1:18" x14ac:dyDescent="0.25">
      <c r="A33" t="s">
        <v>18</v>
      </c>
      <c r="B33" t="s">
        <v>129</v>
      </c>
      <c r="C33" t="s">
        <v>130</v>
      </c>
      <c r="D33" s="1" t="s">
        <v>21</v>
      </c>
      <c r="E33">
        <v>50.866700000000002</v>
      </c>
      <c r="F33">
        <v>17.4833</v>
      </c>
      <c r="G33" t="s">
        <v>22</v>
      </c>
      <c r="H33" t="s">
        <v>74</v>
      </c>
      <c r="I33" t="s">
        <v>131</v>
      </c>
      <c r="J33" t="s">
        <v>117</v>
      </c>
      <c r="K33">
        <v>6</v>
      </c>
      <c r="L33">
        <v>164</v>
      </c>
      <c r="M33">
        <v>984</v>
      </c>
      <c r="N33" s="1" t="s">
        <v>26</v>
      </c>
      <c r="O33">
        <v>2018</v>
      </c>
      <c r="P33" t="s">
        <v>27</v>
      </c>
      <c r="Q33" t="s">
        <v>28</v>
      </c>
      <c r="R33" t="s">
        <v>29</v>
      </c>
    </row>
    <row r="34" spans="1:18" x14ac:dyDescent="0.25">
      <c r="A34" t="s">
        <v>18</v>
      </c>
      <c r="B34" t="s">
        <v>132</v>
      </c>
      <c r="C34" t="s">
        <v>133</v>
      </c>
      <c r="D34" s="1" t="s">
        <v>21</v>
      </c>
      <c r="E34">
        <v>49.299399999999999</v>
      </c>
      <c r="F34">
        <v>19.951899999999998</v>
      </c>
      <c r="G34" t="s">
        <v>31</v>
      </c>
      <c r="H34" t="s">
        <v>32</v>
      </c>
      <c r="I34" t="s">
        <v>65</v>
      </c>
      <c r="J34" t="s">
        <v>25</v>
      </c>
      <c r="K34">
        <v>60</v>
      </c>
      <c r="L34">
        <v>551</v>
      </c>
      <c r="M34">
        <v>33060</v>
      </c>
      <c r="N34" s="1" t="s">
        <v>26</v>
      </c>
      <c r="O34">
        <v>2018</v>
      </c>
      <c r="P34" t="s">
        <v>27</v>
      </c>
      <c r="Q34" t="s">
        <v>28</v>
      </c>
      <c r="R34" t="s">
        <v>29</v>
      </c>
    </row>
    <row r="35" spans="1:18" x14ac:dyDescent="0.25">
      <c r="A35" t="s">
        <v>18</v>
      </c>
      <c r="B35" t="s">
        <v>30</v>
      </c>
      <c r="C35" t="s">
        <v>541</v>
      </c>
      <c r="D35" s="1" t="s">
        <v>21</v>
      </c>
      <c r="E35">
        <v>53.416699999999999</v>
      </c>
      <c r="F35">
        <v>18.433299999999999</v>
      </c>
      <c r="G35" t="s">
        <v>31</v>
      </c>
      <c r="H35" t="s">
        <v>32</v>
      </c>
      <c r="I35" t="s">
        <v>125</v>
      </c>
      <c r="J35" t="s">
        <v>45</v>
      </c>
      <c r="K35">
        <v>38</v>
      </c>
      <c r="L35">
        <v>191</v>
      </c>
      <c r="M35">
        <v>7258</v>
      </c>
      <c r="N35" s="1" t="s">
        <v>54</v>
      </c>
      <c r="O35">
        <v>2018</v>
      </c>
      <c r="P35" t="s">
        <v>60</v>
      </c>
      <c r="Q35" t="s">
        <v>28</v>
      </c>
      <c r="R35" t="s">
        <v>29</v>
      </c>
    </row>
    <row r="36" spans="1:18" x14ac:dyDescent="0.25">
      <c r="A36" t="s">
        <v>18</v>
      </c>
      <c r="B36" t="s">
        <v>134</v>
      </c>
      <c r="C36" t="s">
        <v>561</v>
      </c>
      <c r="D36" s="1" t="s">
        <v>21</v>
      </c>
      <c r="E36">
        <v>52.1417</v>
      </c>
      <c r="F36">
        <v>20.716699999999999</v>
      </c>
      <c r="G36" t="s">
        <v>22</v>
      </c>
      <c r="H36" t="s">
        <v>23</v>
      </c>
      <c r="I36" t="s">
        <v>135</v>
      </c>
      <c r="J36" t="s">
        <v>34</v>
      </c>
      <c r="K36">
        <v>5</v>
      </c>
      <c r="L36">
        <v>114</v>
      </c>
      <c r="M36">
        <v>570</v>
      </c>
      <c r="N36" s="1" t="s">
        <v>26</v>
      </c>
      <c r="O36">
        <v>2018</v>
      </c>
      <c r="P36" t="s">
        <v>35</v>
      </c>
      <c r="Q36" t="s">
        <v>28</v>
      </c>
      <c r="R36" t="s">
        <v>29</v>
      </c>
    </row>
    <row r="37" spans="1:18" x14ac:dyDescent="0.25">
      <c r="A37" t="s">
        <v>18</v>
      </c>
      <c r="B37" t="s">
        <v>136</v>
      </c>
      <c r="C37" t="s">
        <v>562</v>
      </c>
      <c r="D37" s="1" t="s">
        <v>21</v>
      </c>
      <c r="E37">
        <v>49.822499999999998</v>
      </c>
      <c r="F37">
        <v>19.0444</v>
      </c>
      <c r="G37" t="s">
        <v>31</v>
      </c>
      <c r="H37" t="s">
        <v>38</v>
      </c>
      <c r="I37" t="s">
        <v>137</v>
      </c>
      <c r="J37" t="s">
        <v>45</v>
      </c>
      <c r="K37">
        <v>5</v>
      </c>
      <c r="L37">
        <v>26</v>
      </c>
      <c r="M37">
        <v>130</v>
      </c>
      <c r="N37" s="1" t="s">
        <v>26</v>
      </c>
      <c r="O37">
        <v>2018</v>
      </c>
      <c r="P37" t="s">
        <v>77</v>
      </c>
      <c r="Q37" t="s">
        <v>56</v>
      </c>
      <c r="R37" t="s">
        <v>57</v>
      </c>
    </row>
    <row r="38" spans="1:18" x14ac:dyDescent="0.25">
      <c r="A38" t="s">
        <v>18</v>
      </c>
      <c r="B38" t="s">
        <v>138</v>
      </c>
      <c r="C38" t="s">
        <v>563</v>
      </c>
      <c r="D38" s="1" t="s">
        <v>21</v>
      </c>
      <c r="E38">
        <v>53.2667</v>
      </c>
      <c r="F38">
        <v>16.466699999999999</v>
      </c>
      <c r="G38" t="s">
        <v>22</v>
      </c>
      <c r="H38" t="s">
        <v>74</v>
      </c>
      <c r="I38" t="s">
        <v>139</v>
      </c>
      <c r="J38" t="s">
        <v>25</v>
      </c>
      <c r="K38">
        <v>30</v>
      </c>
      <c r="L38">
        <v>452</v>
      </c>
      <c r="M38">
        <v>13560</v>
      </c>
      <c r="N38" s="1" t="s">
        <v>26</v>
      </c>
      <c r="O38">
        <v>2018</v>
      </c>
      <c r="P38" t="s">
        <v>60</v>
      </c>
      <c r="Q38" t="s">
        <v>28</v>
      </c>
      <c r="R38" t="s">
        <v>29</v>
      </c>
    </row>
    <row r="39" spans="1:18" x14ac:dyDescent="0.25">
      <c r="A39" t="s">
        <v>18</v>
      </c>
      <c r="B39" t="s">
        <v>140</v>
      </c>
      <c r="C39" t="s">
        <v>564</v>
      </c>
      <c r="D39" s="1" t="s">
        <v>21</v>
      </c>
      <c r="E39">
        <v>49.882100000000001</v>
      </c>
      <c r="F39">
        <v>19.223299999999998</v>
      </c>
      <c r="G39" t="s">
        <v>31</v>
      </c>
      <c r="H39" t="s">
        <v>38</v>
      </c>
      <c r="I39" t="s">
        <v>141</v>
      </c>
      <c r="J39" t="s">
        <v>25</v>
      </c>
      <c r="K39">
        <v>1</v>
      </c>
      <c r="L39">
        <v>604</v>
      </c>
      <c r="M39">
        <v>604</v>
      </c>
      <c r="N39" s="1" t="s">
        <v>26</v>
      </c>
      <c r="O39">
        <v>2018</v>
      </c>
      <c r="P39" t="s">
        <v>40</v>
      </c>
      <c r="Q39" t="s">
        <v>41</v>
      </c>
      <c r="R39" t="s">
        <v>42</v>
      </c>
    </row>
    <row r="40" spans="1:18" x14ac:dyDescent="0.25">
      <c r="A40" t="s">
        <v>18</v>
      </c>
      <c r="B40" t="s">
        <v>142</v>
      </c>
      <c r="C40" t="s">
        <v>565</v>
      </c>
      <c r="D40" s="1" t="s">
        <v>21</v>
      </c>
      <c r="E40">
        <v>50.8</v>
      </c>
      <c r="F40">
        <v>19.116700000000002</v>
      </c>
      <c r="G40" t="s">
        <v>31</v>
      </c>
      <c r="H40" t="s">
        <v>32</v>
      </c>
      <c r="I40" t="s">
        <v>143</v>
      </c>
      <c r="J40" t="s">
        <v>88</v>
      </c>
      <c r="K40">
        <v>2</v>
      </c>
      <c r="L40">
        <v>768</v>
      </c>
      <c r="M40">
        <v>1536</v>
      </c>
      <c r="N40" s="1" t="s">
        <v>26</v>
      </c>
      <c r="O40">
        <v>2018</v>
      </c>
      <c r="P40" t="s">
        <v>35</v>
      </c>
      <c r="Q40" t="s">
        <v>28</v>
      </c>
      <c r="R40" t="s">
        <v>29</v>
      </c>
    </row>
    <row r="41" spans="1:18" x14ac:dyDescent="0.25">
      <c r="A41" t="s">
        <v>18</v>
      </c>
      <c r="B41" t="s">
        <v>144</v>
      </c>
      <c r="C41" t="s">
        <v>566</v>
      </c>
      <c r="D41" s="1" t="s">
        <v>21</v>
      </c>
      <c r="E41">
        <v>51.366700000000002</v>
      </c>
      <c r="F41">
        <v>19.366700000000002</v>
      </c>
      <c r="G41" t="s">
        <v>22</v>
      </c>
      <c r="H41" t="s">
        <v>23</v>
      </c>
      <c r="I41" t="s">
        <v>33</v>
      </c>
      <c r="J41" t="s">
        <v>34</v>
      </c>
      <c r="K41">
        <v>4</v>
      </c>
      <c r="L41">
        <v>591</v>
      </c>
      <c r="M41">
        <v>2364</v>
      </c>
      <c r="N41" s="1" t="s">
        <v>26</v>
      </c>
      <c r="O41">
        <v>2018</v>
      </c>
      <c r="P41" t="s">
        <v>103</v>
      </c>
      <c r="Q41" t="s">
        <v>56</v>
      </c>
      <c r="R41" t="s">
        <v>57</v>
      </c>
    </row>
    <row r="42" spans="1:18" x14ac:dyDescent="0.25">
      <c r="A42" t="s">
        <v>18</v>
      </c>
      <c r="B42" t="s">
        <v>145</v>
      </c>
      <c r="C42" t="s">
        <v>567</v>
      </c>
      <c r="D42" s="1" t="s">
        <v>21</v>
      </c>
      <c r="E42">
        <v>53.2</v>
      </c>
      <c r="F42">
        <v>18.600000000000001</v>
      </c>
      <c r="G42" t="s">
        <v>22</v>
      </c>
      <c r="H42" t="s">
        <v>23</v>
      </c>
      <c r="I42" t="s">
        <v>146</v>
      </c>
      <c r="J42" t="s">
        <v>45</v>
      </c>
      <c r="K42">
        <v>2</v>
      </c>
      <c r="L42">
        <v>763</v>
      </c>
      <c r="M42">
        <v>1526</v>
      </c>
      <c r="N42" s="1" t="s">
        <v>26</v>
      </c>
      <c r="O42">
        <v>2018</v>
      </c>
      <c r="P42" t="s">
        <v>60</v>
      </c>
      <c r="Q42" t="s">
        <v>28</v>
      </c>
      <c r="R42" t="s">
        <v>29</v>
      </c>
    </row>
    <row r="43" spans="1:18" x14ac:dyDescent="0.25">
      <c r="A43" t="s">
        <v>18</v>
      </c>
      <c r="B43" t="s">
        <v>147</v>
      </c>
      <c r="C43" t="s">
        <v>568</v>
      </c>
      <c r="D43" s="1" t="s">
        <v>21</v>
      </c>
      <c r="E43">
        <v>52.4</v>
      </c>
      <c r="F43">
        <v>16.916699999999999</v>
      </c>
      <c r="G43" t="s">
        <v>22</v>
      </c>
      <c r="H43" t="s">
        <v>74</v>
      </c>
      <c r="I43" t="s">
        <v>148</v>
      </c>
      <c r="J43" t="s">
        <v>34</v>
      </c>
      <c r="K43">
        <v>2</v>
      </c>
      <c r="L43">
        <v>458</v>
      </c>
      <c r="M43">
        <v>916</v>
      </c>
      <c r="N43" s="1" t="s">
        <v>149</v>
      </c>
      <c r="O43">
        <v>2018</v>
      </c>
      <c r="P43" t="s">
        <v>81</v>
      </c>
      <c r="Q43" t="s">
        <v>41</v>
      </c>
      <c r="R43" t="s">
        <v>42</v>
      </c>
    </row>
    <row r="44" spans="1:18" x14ac:dyDescent="0.25">
      <c r="A44" t="s">
        <v>18</v>
      </c>
      <c r="B44" t="s">
        <v>150</v>
      </c>
      <c r="C44" t="s">
        <v>569</v>
      </c>
      <c r="D44" s="1" t="s">
        <v>21</v>
      </c>
      <c r="E44">
        <v>54.166699999999999</v>
      </c>
      <c r="F44">
        <v>19.399999999999999</v>
      </c>
      <c r="G44" t="s">
        <v>31</v>
      </c>
      <c r="H44" t="s">
        <v>38</v>
      </c>
      <c r="I44" t="s">
        <v>24</v>
      </c>
      <c r="J44" t="s">
        <v>25</v>
      </c>
      <c r="K44">
        <v>2</v>
      </c>
      <c r="L44">
        <v>368</v>
      </c>
      <c r="M44">
        <v>736</v>
      </c>
      <c r="N44" s="1" t="s">
        <v>26</v>
      </c>
      <c r="O44">
        <v>2018</v>
      </c>
      <c r="P44" t="s">
        <v>103</v>
      </c>
      <c r="Q44" t="s">
        <v>56</v>
      </c>
      <c r="R44" t="s">
        <v>57</v>
      </c>
    </row>
    <row r="45" spans="1:18" x14ac:dyDescent="0.25">
      <c r="A45" t="s">
        <v>18</v>
      </c>
      <c r="B45" t="s">
        <v>151</v>
      </c>
      <c r="C45" t="s">
        <v>152</v>
      </c>
      <c r="D45" s="1" t="s">
        <v>21</v>
      </c>
      <c r="E45">
        <v>52.883299999999998</v>
      </c>
      <c r="F45">
        <v>18.783300000000001</v>
      </c>
      <c r="G45" t="s">
        <v>31</v>
      </c>
      <c r="H45" t="s">
        <v>32</v>
      </c>
      <c r="I45" t="s">
        <v>153</v>
      </c>
      <c r="J45" t="s">
        <v>117</v>
      </c>
      <c r="K45">
        <v>3</v>
      </c>
      <c r="L45">
        <v>682</v>
      </c>
      <c r="N45" s="1" t="s">
        <v>26</v>
      </c>
      <c r="O45">
        <v>2018</v>
      </c>
      <c r="P45" t="s">
        <v>27</v>
      </c>
      <c r="Q45" t="s">
        <v>28</v>
      </c>
      <c r="R45" t="s">
        <v>29</v>
      </c>
    </row>
    <row r="46" spans="1:18" x14ac:dyDescent="0.25">
      <c r="A46" t="s">
        <v>18</v>
      </c>
      <c r="B46" t="s">
        <v>36</v>
      </c>
      <c r="C46" t="s">
        <v>37</v>
      </c>
      <c r="D46" s="1" t="s">
        <v>21</v>
      </c>
      <c r="E46">
        <v>50.083300000000001</v>
      </c>
      <c r="F46">
        <v>18.5</v>
      </c>
      <c r="G46" t="s">
        <v>31</v>
      </c>
      <c r="H46" t="s">
        <v>38</v>
      </c>
      <c r="I46" t="s">
        <v>154</v>
      </c>
      <c r="J46" t="s">
        <v>25</v>
      </c>
      <c r="K46">
        <v>2</v>
      </c>
      <c r="L46">
        <v>106</v>
      </c>
      <c r="M46">
        <v>212</v>
      </c>
      <c r="N46" s="1" t="s">
        <v>26</v>
      </c>
      <c r="O46">
        <v>2018</v>
      </c>
      <c r="P46" t="s">
        <v>95</v>
      </c>
      <c r="Q46" t="s">
        <v>67</v>
      </c>
      <c r="R46" t="s">
        <v>68</v>
      </c>
    </row>
    <row r="47" spans="1:18" x14ac:dyDescent="0.25">
      <c r="A47" t="s">
        <v>18</v>
      </c>
      <c r="B47" t="s">
        <v>51</v>
      </c>
      <c r="C47" t="s">
        <v>52</v>
      </c>
      <c r="D47" s="1" t="s">
        <v>21</v>
      </c>
      <c r="E47">
        <v>54.033299999999997</v>
      </c>
      <c r="F47">
        <v>22.5</v>
      </c>
      <c r="G47" t="s">
        <v>22</v>
      </c>
      <c r="H47" t="s">
        <v>23</v>
      </c>
      <c r="I47" t="s">
        <v>155</v>
      </c>
      <c r="J47" t="s">
        <v>34</v>
      </c>
      <c r="K47">
        <v>1</v>
      </c>
      <c r="L47">
        <v>122</v>
      </c>
      <c r="M47">
        <v>122</v>
      </c>
      <c r="N47" s="1" t="s">
        <v>156</v>
      </c>
      <c r="O47">
        <v>2018</v>
      </c>
      <c r="P47" t="s">
        <v>27</v>
      </c>
      <c r="Q47" t="s">
        <v>28</v>
      </c>
      <c r="R47" t="s">
        <v>29</v>
      </c>
    </row>
    <row r="48" spans="1:18" x14ac:dyDescent="0.25">
      <c r="A48" t="s">
        <v>18</v>
      </c>
      <c r="B48" t="s">
        <v>157</v>
      </c>
      <c r="C48" t="s">
        <v>570</v>
      </c>
      <c r="D48" s="1" t="s">
        <v>21</v>
      </c>
      <c r="E48">
        <v>50.437800000000003</v>
      </c>
      <c r="F48">
        <v>16.652799999999999</v>
      </c>
      <c r="G48" t="s">
        <v>22</v>
      </c>
      <c r="H48" t="s">
        <v>23</v>
      </c>
      <c r="I48" t="s">
        <v>158</v>
      </c>
      <c r="J48" t="s">
        <v>45</v>
      </c>
      <c r="K48">
        <v>4</v>
      </c>
      <c r="L48">
        <v>60</v>
      </c>
      <c r="M48">
        <v>240</v>
      </c>
      <c r="N48" s="1" t="s">
        <v>26</v>
      </c>
      <c r="O48">
        <v>2018</v>
      </c>
      <c r="P48" t="s">
        <v>103</v>
      </c>
      <c r="Q48" t="s">
        <v>56</v>
      </c>
      <c r="R48" t="s">
        <v>57</v>
      </c>
    </row>
    <row r="49" spans="1:18" x14ac:dyDescent="0.25">
      <c r="A49" t="s">
        <v>18</v>
      </c>
      <c r="B49" t="s">
        <v>159</v>
      </c>
      <c r="C49" t="s">
        <v>160</v>
      </c>
      <c r="D49" s="1" t="s">
        <v>21</v>
      </c>
      <c r="E49">
        <v>53.755800000000001</v>
      </c>
      <c r="F49">
        <v>19.197500000000002</v>
      </c>
      <c r="G49" t="s">
        <v>22</v>
      </c>
      <c r="H49" t="s">
        <v>74</v>
      </c>
      <c r="I49" t="s">
        <v>161</v>
      </c>
      <c r="J49" t="s">
        <v>25</v>
      </c>
      <c r="K49">
        <v>2</v>
      </c>
      <c r="L49">
        <v>488</v>
      </c>
      <c r="M49">
        <v>976</v>
      </c>
      <c r="N49" s="1" t="s">
        <v>26</v>
      </c>
      <c r="O49">
        <v>2018</v>
      </c>
      <c r="P49" t="s">
        <v>60</v>
      </c>
      <c r="Q49" t="s">
        <v>28</v>
      </c>
      <c r="R49" t="s">
        <v>29</v>
      </c>
    </row>
    <row r="50" spans="1:18" x14ac:dyDescent="0.25">
      <c r="A50" t="s">
        <v>18</v>
      </c>
      <c r="B50" t="s">
        <v>162</v>
      </c>
      <c r="C50" t="s">
        <v>571</v>
      </c>
      <c r="D50" s="1" t="s">
        <v>21</v>
      </c>
      <c r="E50">
        <v>50.3</v>
      </c>
      <c r="F50">
        <v>18.95</v>
      </c>
      <c r="G50" t="s">
        <v>31</v>
      </c>
      <c r="H50" t="s">
        <v>32</v>
      </c>
      <c r="I50" t="s">
        <v>163</v>
      </c>
      <c r="J50" t="s">
        <v>117</v>
      </c>
      <c r="K50">
        <v>8</v>
      </c>
      <c r="L50">
        <v>482</v>
      </c>
      <c r="M50">
        <v>3856</v>
      </c>
      <c r="N50" s="1" t="s">
        <v>124</v>
      </c>
      <c r="O50">
        <v>2018</v>
      </c>
      <c r="P50" t="s">
        <v>66</v>
      </c>
      <c r="Q50" t="s">
        <v>67</v>
      </c>
      <c r="R50" t="s">
        <v>68</v>
      </c>
    </row>
    <row r="51" spans="1:18" x14ac:dyDescent="0.25">
      <c r="A51" t="s">
        <v>18</v>
      </c>
      <c r="B51" t="s">
        <v>164</v>
      </c>
      <c r="C51" t="s">
        <v>572</v>
      </c>
      <c r="D51" s="1" t="s">
        <v>21</v>
      </c>
      <c r="E51">
        <v>53.4925</v>
      </c>
      <c r="F51">
        <v>18.7761</v>
      </c>
      <c r="G51" t="s">
        <v>31</v>
      </c>
      <c r="H51" t="s">
        <v>32</v>
      </c>
      <c r="I51" t="s">
        <v>165</v>
      </c>
      <c r="J51" t="s">
        <v>25</v>
      </c>
      <c r="K51">
        <v>6</v>
      </c>
      <c r="L51">
        <v>391</v>
      </c>
      <c r="M51">
        <v>2346</v>
      </c>
      <c r="N51" s="1" t="s">
        <v>26</v>
      </c>
      <c r="O51">
        <v>2018</v>
      </c>
      <c r="P51" t="s">
        <v>103</v>
      </c>
      <c r="Q51" t="s">
        <v>56</v>
      </c>
      <c r="R51" t="s">
        <v>57</v>
      </c>
    </row>
    <row r="52" spans="1:18" x14ac:dyDescent="0.25">
      <c r="A52" t="s">
        <v>18</v>
      </c>
      <c r="B52" t="s">
        <v>166</v>
      </c>
      <c r="C52" t="s">
        <v>573</v>
      </c>
      <c r="D52" s="1" t="s">
        <v>21</v>
      </c>
      <c r="E52">
        <v>52.058300000000003</v>
      </c>
      <c r="F52">
        <v>19.2</v>
      </c>
      <c r="G52" t="s">
        <v>31</v>
      </c>
      <c r="H52" t="s">
        <v>38</v>
      </c>
      <c r="I52" t="s">
        <v>167</v>
      </c>
      <c r="J52" t="s">
        <v>117</v>
      </c>
      <c r="K52">
        <v>10</v>
      </c>
      <c r="L52">
        <v>75</v>
      </c>
      <c r="M52">
        <v>750</v>
      </c>
      <c r="N52" s="1" t="s">
        <v>26</v>
      </c>
      <c r="O52">
        <v>2018</v>
      </c>
      <c r="P52" t="s">
        <v>40</v>
      </c>
      <c r="Q52" t="s">
        <v>41</v>
      </c>
      <c r="R52" t="s">
        <v>42</v>
      </c>
    </row>
    <row r="53" spans="1:18" x14ac:dyDescent="0.25">
      <c r="A53" t="s">
        <v>18</v>
      </c>
      <c r="B53" t="s">
        <v>168</v>
      </c>
      <c r="C53" t="s">
        <v>574</v>
      </c>
      <c r="D53" s="1" t="s">
        <v>21</v>
      </c>
      <c r="E53">
        <v>53.65</v>
      </c>
      <c r="F53">
        <v>17.366700000000002</v>
      </c>
      <c r="G53" t="s">
        <v>31</v>
      </c>
      <c r="H53" t="s">
        <v>32</v>
      </c>
      <c r="I53" t="s">
        <v>169</v>
      </c>
      <c r="J53" t="s">
        <v>80</v>
      </c>
      <c r="K53">
        <v>10</v>
      </c>
      <c r="L53">
        <v>347</v>
      </c>
      <c r="M53">
        <v>3470</v>
      </c>
      <c r="N53" s="1" t="s">
        <v>26</v>
      </c>
      <c r="O53">
        <v>2018</v>
      </c>
      <c r="P53" t="s">
        <v>27</v>
      </c>
      <c r="Q53" t="s">
        <v>28</v>
      </c>
      <c r="R53" t="s">
        <v>29</v>
      </c>
    </row>
    <row r="54" spans="1:18" x14ac:dyDescent="0.25">
      <c r="A54" t="s">
        <v>18</v>
      </c>
      <c r="B54" t="s">
        <v>43</v>
      </c>
      <c r="C54" t="s">
        <v>542</v>
      </c>
      <c r="D54" s="1" t="s">
        <v>21</v>
      </c>
      <c r="E54">
        <v>50.333300000000001</v>
      </c>
      <c r="F54">
        <v>19.083300000000001</v>
      </c>
      <c r="G54" t="s">
        <v>22</v>
      </c>
      <c r="H54" t="s">
        <v>23</v>
      </c>
      <c r="I54" t="s">
        <v>170</v>
      </c>
      <c r="J54" t="s">
        <v>25</v>
      </c>
      <c r="K54">
        <v>10</v>
      </c>
      <c r="L54">
        <v>99</v>
      </c>
      <c r="M54">
        <v>990</v>
      </c>
      <c r="N54" s="1" t="s">
        <v>26</v>
      </c>
      <c r="O54">
        <v>2018</v>
      </c>
      <c r="P54" t="s">
        <v>106</v>
      </c>
      <c r="Q54" t="s">
        <v>67</v>
      </c>
      <c r="R54" t="s">
        <v>68</v>
      </c>
    </row>
    <row r="55" spans="1:18" x14ac:dyDescent="0.25">
      <c r="A55" t="s">
        <v>18</v>
      </c>
      <c r="B55" t="s">
        <v>171</v>
      </c>
      <c r="C55" t="s">
        <v>575</v>
      </c>
      <c r="D55" s="1" t="s">
        <v>21</v>
      </c>
      <c r="E55">
        <v>51.566699999999997</v>
      </c>
      <c r="F55">
        <v>21.8614</v>
      </c>
      <c r="G55" t="s">
        <v>22</v>
      </c>
      <c r="H55" t="s">
        <v>23</v>
      </c>
      <c r="I55" t="s">
        <v>90</v>
      </c>
      <c r="J55" t="s">
        <v>88</v>
      </c>
      <c r="K55">
        <v>8</v>
      </c>
      <c r="L55">
        <v>487</v>
      </c>
      <c r="M55">
        <v>3896</v>
      </c>
      <c r="N55" s="1" t="s">
        <v>26</v>
      </c>
      <c r="O55">
        <v>2018</v>
      </c>
      <c r="P55" t="s">
        <v>55</v>
      </c>
      <c r="Q55" t="s">
        <v>56</v>
      </c>
      <c r="R55" t="s">
        <v>57</v>
      </c>
    </row>
    <row r="56" spans="1:18" x14ac:dyDescent="0.25">
      <c r="A56" t="s">
        <v>18</v>
      </c>
      <c r="B56" t="s">
        <v>112</v>
      </c>
      <c r="C56" t="s">
        <v>555</v>
      </c>
      <c r="D56" s="1" t="s">
        <v>21</v>
      </c>
      <c r="E56">
        <v>50.843800000000002</v>
      </c>
      <c r="F56">
        <v>16.488600000000002</v>
      </c>
      <c r="G56" t="s">
        <v>31</v>
      </c>
      <c r="H56" t="s">
        <v>38</v>
      </c>
      <c r="I56" t="s">
        <v>172</v>
      </c>
      <c r="J56" t="s">
        <v>117</v>
      </c>
      <c r="K56">
        <v>8</v>
      </c>
      <c r="L56">
        <v>149</v>
      </c>
      <c r="M56">
        <v>1192</v>
      </c>
      <c r="N56" s="1" t="s">
        <v>26</v>
      </c>
      <c r="O56">
        <v>2018</v>
      </c>
      <c r="P56" t="s">
        <v>35</v>
      </c>
      <c r="Q56" t="s">
        <v>28</v>
      </c>
      <c r="R56" t="s">
        <v>29</v>
      </c>
    </row>
    <row r="57" spans="1:18" x14ac:dyDescent="0.25">
      <c r="A57" t="s">
        <v>18</v>
      </c>
      <c r="B57" t="s">
        <v>173</v>
      </c>
      <c r="C57" t="s">
        <v>576</v>
      </c>
      <c r="D57" s="1" t="s">
        <v>21</v>
      </c>
      <c r="E57">
        <v>53.916699999999999</v>
      </c>
      <c r="F57">
        <v>14.25</v>
      </c>
      <c r="G57" t="s">
        <v>22</v>
      </c>
      <c r="H57" t="s">
        <v>74</v>
      </c>
      <c r="I57" t="s">
        <v>174</v>
      </c>
      <c r="J57" t="s">
        <v>45</v>
      </c>
      <c r="K57">
        <v>1</v>
      </c>
      <c r="L57">
        <v>778</v>
      </c>
      <c r="M57">
        <v>778</v>
      </c>
      <c r="N57" s="1" t="s">
        <v>26</v>
      </c>
      <c r="O57">
        <v>2018</v>
      </c>
      <c r="P57" t="s">
        <v>95</v>
      </c>
      <c r="Q57" t="s">
        <v>67</v>
      </c>
      <c r="R57" t="s">
        <v>68</v>
      </c>
    </row>
    <row r="58" spans="1:18" x14ac:dyDescent="0.25">
      <c r="A58" t="s">
        <v>18</v>
      </c>
      <c r="B58" t="s">
        <v>175</v>
      </c>
      <c r="C58" t="s">
        <v>577</v>
      </c>
      <c r="D58" s="1" t="s">
        <v>21</v>
      </c>
      <c r="E58">
        <v>52.7333</v>
      </c>
      <c r="F58">
        <v>15.25</v>
      </c>
      <c r="G58" t="s">
        <v>31</v>
      </c>
      <c r="H58" t="s">
        <v>38</v>
      </c>
      <c r="I58" t="s">
        <v>141</v>
      </c>
      <c r="J58" t="s">
        <v>25</v>
      </c>
      <c r="K58">
        <v>20</v>
      </c>
      <c r="L58">
        <v>604</v>
      </c>
      <c r="M58">
        <v>12080</v>
      </c>
      <c r="N58" s="1" t="s">
        <v>26</v>
      </c>
      <c r="O58">
        <v>2018</v>
      </c>
      <c r="P58" t="s">
        <v>106</v>
      </c>
      <c r="Q58" t="s">
        <v>67</v>
      </c>
      <c r="R58" t="s">
        <v>68</v>
      </c>
    </row>
    <row r="59" spans="1:18" x14ac:dyDescent="0.25">
      <c r="A59" t="s">
        <v>18</v>
      </c>
      <c r="B59" t="s">
        <v>176</v>
      </c>
      <c r="C59" t="s">
        <v>578</v>
      </c>
      <c r="D59" s="1" t="s">
        <v>21</v>
      </c>
      <c r="E59">
        <v>53.142099999999999</v>
      </c>
      <c r="F59">
        <v>17.601800000000001</v>
      </c>
      <c r="G59" t="s">
        <v>31</v>
      </c>
      <c r="H59" t="s">
        <v>32</v>
      </c>
      <c r="I59" t="s">
        <v>174</v>
      </c>
      <c r="J59" t="s">
        <v>45</v>
      </c>
      <c r="K59">
        <v>20</v>
      </c>
      <c r="L59">
        <v>778</v>
      </c>
      <c r="N59" s="1" t="s">
        <v>26</v>
      </c>
      <c r="O59">
        <v>2018</v>
      </c>
      <c r="P59" t="s">
        <v>77</v>
      </c>
      <c r="Q59" t="s">
        <v>56</v>
      </c>
      <c r="R59" t="s">
        <v>57</v>
      </c>
    </row>
    <row r="60" spans="1:18" x14ac:dyDescent="0.25">
      <c r="A60" t="s">
        <v>18</v>
      </c>
      <c r="B60" t="s">
        <v>177</v>
      </c>
      <c r="C60" t="s">
        <v>178</v>
      </c>
      <c r="D60" s="1" t="s">
        <v>21</v>
      </c>
      <c r="E60">
        <v>53.252400000000002</v>
      </c>
      <c r="F60">
        <v>14.488300000000001</v>
      </c>
      <c r="G60" t="s">
        <v>22</v>
      </c>
      <c r="H60" t="s">
        <v>74</v>
      </c>
      <c r="I60" t="s">
        <v>179</v>
      </c>
      <c r="J60" t="s">
        <v>34</v>
      </c>
      <c r="K60">
        <v>3</v>
      </c>
      <c r="L60">
        <v>424</v>
      </c>
      <c r="N60" s="1" t="s">
        <v>26</v>
      </c>
      <c r="O60">
        <v>2018</v>
      </c>
      <c r="P60" t="s">
        <v>71</v>
      </c>
      <c r="Q60" t="s">
        <v>41</v>
      </c>
      <c r="R60" t="s">
        <v>42</v>
      </c>
    </row>
    <row r="61" spans="1:18" x14ac:dyDescent="0.25">
      <c r="A61" t="s">
        <v>18</v>
      </c>
      <c r="B61" t="s">
        <v>180</v>
      </c>
      <c r="C61" t="s">
        <v>181</v>
      </c>
      <c r="D61" s="1" t="s">
        <v>21</v>
      </c>
      <c r="E61">
        <v>50.683300000000003</v>
      </c>
      <c r="F61">
        <v>21.75</v>
      </c>
      <c r="G61" t="s">
        <v>22</v>
      </c>
      <c r="H61" t="s">
        <v>74</v>
      </c>
      <c r="I61" t="s">
        <v>62</v>
      </c>
      <c r="J61" t="s">
        <v>25</v>
      </c>
      <c r="K61">
        <v>10</v>
      </c>
      <c r="L61">
        <v>742</v>
      </c>
      <c r="N61" s="1" t="s">
        <v>124</v>
      </c>
      <c r="O61">
        <v>2018</v>
      </c>
      <c r="P61" t="s">
        <v>35</v>
      </c>
      <c r="Q61" t="s">
        <v>28</v>
      </c>
      <c r="R61" t="s">
        <v>29</v>
      </c>
    </row>
    <row r="62" spans="1:18" x14ac:dyDescent="0.25">
      <c r="A62" t="s">
        <v>18</v>
      </c>
      <c r="B62" t="s">
        <v>182</v>
      </c>
      <c r="C62" t="s">
        <v>579</v>
      </c>
      <c r="D62" s="1" t="s">
        <v>21</v>
      </c>
      <c r="E62">
        <v>53.969700000000003</v>
      </c>
      <c r="F62">
        <v>14.7858</v>
      </c>
      <c r="G62" t="s">
        <v>22</v>
      </c>
      <c r="H62" t="s">
        <v>74</v>
      </c>
      <c r="I62" t="s">
        <v>39</v>
      </c>
      <c r="J62" t="s">
        <v>34</v>
      </c>
      <c r="K62">
        <v>100</v>
      </c>
      <c r="L62">
        <v>66</v>
      </c>
      <c r="M62">
        <v>6600</v>
      </c>
      <c r="N62" s="1" t="s">
        <v>26</v>
      </c>
      <c r="O62">
        <v>2018</v>
      </c>
      <c r="P62" t="s">
        <v>71</v>
      </c>
      <c r="Q62" t="s">
        <v>41</v>
      </c>
      <c r="R62" t="s">
        <v>42</v>
      </c>
    </row>
    <row r="63" spans="1:18" x14ac:dyDescent="0.25">
      <c r="A63" t="s">
        <v>18</v>
      </c>
      <c r="B63" t="s">
        <v>150</v>
      </c>
      <c r="C63" t="s">
        <v>569</v>
      </c>
      <c r="D63" s="1" t="s">
        <v>21</v>
      </c>
      <c r="E63">
        <v>54.166699999999999</v>
      </c>
      <c r="F63">
        <v>19.399999999999999</v>
      </c>
      <c r="G63" t="s">
        <v>31</v>
      </c>
      <c r="H63" t="s">
        <v>38</v>
      </c>
      <c r="I63" t="s">
        <v>163</v>
      </c>
      <c r="J63" t="s">
        <v>117</v>
      </c>
      <c r="K63">
        <v>4</v>
      </c>
      <c r="L63">
        <v>482</v>
      </c>
      <c r="M63">
        <v>1928</v>
      </c>
      <c r="N63" s="1" t="s">
        <v>26</v>
      </c>
      <c r="O63">
        <v>2018</v>
      </c>
      <c r="P63" t="s">
        <v>50</v>
      </c>
      <c r="Q63" t="s">
        <v>28</v>
      </c>
      <c r="R63" t="s">
        <v>29</v>
      </c>
    </row>
    <row r="64" spans="1:18" x14ac:dyDescent="0.25">
      <c r="A64" t="s">
        <v>18</v>
      </c>
      <c r="B64" t="s">
        <v>183</v>
      </c>
      <c r="C64" t="s">
        <v>184</v>
      </c>
      <c r="D64" s="1" t="s">
        <v>21</v>
      </c>
      <c r="E64">
        <v>50.583300000000001</v>
      </c>
      <c r="F64">
        <v>21.683299999999999</v>
      </c>
      <c r="G64" t="s">
        <v>31</v>
      </c>
      <c r="H64" t="s">
        <v>32</v>
      </c>
      <c r="I64" t="s">
        <v>185</v>
      </c>
      <c r="J64" t="s">
        <v>45</v>
      </c>
      <c r="K64">
        <v>5</v>
      </c>
      <c r="L64">
        <v>722</v>
      </c>
      <c r="M64">
        <v>3610</v>
      </c>
      <c r="N64" s="1" t="s">
        <v>26</v>
      </c>
      <c r="O64">
        <v>2018</v>
      </c>
      <c r="P64" t="s">
        <v>66</v>
      </c>
      <c r="Q64" t="s">
        <v>67</v>
      </c>
      <c r="R64" t="s">
        <v>68</v>
      </c>
    </row>
    <row r="65" spans="1:18" x14ac:dyDescent="0.25">
      <c r="A65" t="s">
        <v>18</v>
      </c>
      <c r="B65" t="s">
        <v>186</v>
      </c>
      <c r="C65" t="s">
        <v>580</v>
      </c>
      <c r="D65" s="1" t="s">
        <v>21</v>
      </c>
      <c r="E65">
        <v>54.216700000000003</v>
      </c>
      <c r="F65">
        <v>21.75</v>
      </c>
      <c r="G65" t="s">
        <v>22</v>
      </c>
      <c r="H65" t="s">
        <v>23</v>
      </c>
      <c r="I65" t="s">
        <v>187</v>
      </c>
      <c r="J65" t="s">
        <v>80</v>
      </c>
      <c r="K65">
        <v>30</v>
      </c>
      <c r="L65">
        <v>373</v>
      </c>
      <c r="M65">
        <v>11190</v>
      </c>
      <c r="N65" s="1" t="s">
        <v>26</v>
      </c>
      <c r="O65">
        <v>2018</v>
      </c>
      <c r="P65" t="s">
        <v>103</v>
      </c>
      <c r="Q65" t="s">
        <v>56</v>
      </c>
      <c r="R65" t="s">
        <v>57</v>
      </c>
    </row>
    <row r="66" spans="1:18" x14ac:dyDescent="0.25">
      <c r="A66" t="s">
        <v>18</v>
      </c>
      <c r="B66" t="s">
        <v>46</v>
      </c>
      <c r="C66" t="s">
        <v>47</v>
      </c>
      <c r="D66" s="1" t="s">
        <v>21</v>
      </c>
      <c r="E66">
        <v>53.78</v>
      </c>
      <c r="F66">
        <v>20.494199999999999</v>
      </c>
      <c r="G66" t="s">
        <v>31</v>
      </c>
      <c r="H66" t="s">
        <v>32</v>
      </c>
      <c r="I66" t="s">
        <v>188</v>
      </c>
      <c r="J66" t="s">
        <v>117</v>
      </c>
      <c r="K66">
        <v>10</v>
      </c>
      <c r="L66">
        <v>686</v>
      </c>
      <c r="M66">
        <v>6860</v>
      </c>
      <c r="N66" s="1" t="s">
        <v>26</v>
      </c>
      <c r="O66">
        <v>2018</v>
      </c>
      <c r="P66" t="s">
        <v>40</v>
      </c>
      <c r="Q66" t="s">
        <v>41</v>
      </c>
      <c r="R66" t="s">
        <v>42</v>
      </c>
    </row>
    <row r="67" spans="1:18" x14ac:dyDescent="0.25">
      <c r="A67" t="s">
        <v>18</v>
      </c>
      <c r="B67" t="s">
        <v>189</v>
      </c>
      <c r="C67" t="s">
        <v>190</v>
      </c>
      <c r="D67" s="1" t="s">
        <v>21</v>
      </c>
      <c r="E67">
        <v>54.441899999999997</v>
      </c>
      <c r="F67">
        <v>18.547799999999999</v>
      </c>
      <c r="G67" t="s">
        <v>22</v>
      </c>
      <c r="H67" t="s">
        <v>23</v>
      </c>
      <c r="I67" t="s">
        <v>191</v>
      </c>
      <c r="J67" t="s">
        <v>117</v>
      </c>
      <c r="K67">
        <v>20</v>
      </c>
      <c r="L67">
        <v>206</v>
      </c>
      <c r="M67">
        <v>4120</v>
      </c>
      <c r="N67" s="1" t="s">
        <v>26</v>
      </c>
      <c r="O67">
        <v>2018</v>
      </c>
      <c r="P67" t="s">
        <v>35</v>
      </c>
      <c r="Q67" t="s">
        <v>28</v>
      </c>
      <c r="R67" t="s">
        <v>29</v>
      </c>
    </row>
    <row r="68" spans="1:18" x14ac:dyDescent="0.25">
      <c r="A68" t="s">
        <v>18</v>
      </c>
      <c r="B68" t="s">
        <v>192</v>
      </c>
      <c r="C68" t="s">
        <v>193</v>
      </c>
      <c r="D68" s="1" t="s">
        <v>21</v>
      </c>
      <c r="E68">
        <v>51.305</v>
      </c>
      <c r="F68">
        <v>17.061399999999999</v>
      </c>
      <c r="G68" t="s">
        <v>22</v>
      </c>
      <c r="H68" t="s">
        <v>74</v>
      </c>
      <c r="I68" t="s">
        <v>79</v>
      </c>
      <c r="J68" t="s">
        <v>80</v>
      </c>
      <c r="K68">
        <v>15</v>
      </c>
      <c r="L68">
        <v>249</v>
      </c>
      <c r="M68">
        <v>3735</v>
      </c>
      <c r="N68" s="1" t="s">
        <v>26</v>
      </c>
      <c r="O68">
        <v>2018</v>
      </c>
      <c r="P68" t="s">
        <v>71</v>
      </c>
      <c r="Q68" t="s">
        <v>41</v>
      </c>
      <c r="R68" t="s">
        <v>42</v>
      </c>
    </row>
    <row r="69" spans="1:18" x14ac:dyDescent="0.25">
      <c r="A69" t="s">
        <v>18</v>
      </c>
      <c r="B69" t="s">
        <v>194</v>
      </c>
      <c r="C69" t="s">
        <v>195</v>
      </c>
      <c r="D69" s="1" t="s">
        <v>21</v>
      </c>
      <c r="E69">
        <v>50.473799999999997</v>
      </c>
      <c r="F69">
        <v>17.334399999999999</v>
      </c>
      <c r="G69" t="s">
        <v>31</v>
      </c>
      <c r="H69" t="s">
        <v>32</v>
      </c>
      <c r="I69" t="s">
        <v>196</v>
      </c>
      <c r="J69" t="s">
        <v>80</v>
      </c>
      <c r="K69">
        <v>4</v>
      </c>
      <c r="L69">
        <v>26</v>
      </c>
      <c r="M69">
        <v>104</v>
      </c>
      <c r="N69" s="1" t="s">
        <v>26</v>
      </c>
      <c r="O69">
        <v>2018</v>
      </c>
      <c r="P69" t="s">
        <v>95</v>
      </c>
      <c r="Q69" t="s">
        <v>67</v>
      </c>
      <c r="R69" t="s">
        <v>68</v>
      </c>
    </row>
    <row r="70" spans="1:18" x14ac:dyDescent="0.25">
      <c r="A70" t="s">
        <v>18</v>
      </c>
      <c r="B70" t="s">
        <v>114</v>
      </c>
      <c r="C70" t="s">
        <v>556</v>
      </c>
      <c r="D70" s="1" t="s">
        <v>21</v>
      </c>
      <c r="E70">
        <v>52.183300000000003</v>
      </c>
      <c r="F70">
        <v>20.85</v>
      </c>
      <c r="G70" t="s">
        <v>22</v>
      </c>
      <c r="H70" t="s">
        <v>23</v>
      </c>
      <c r="I70" t="s">
        <v>197</v>
      </c>
      <c r="J70" t="s">
        <v>25</v>
      </c>
      <c r="K70">
        <v>5</v>
      </c>
      <c r="L70">
        <v>201</v>
      </c>
      <c r="M70">
        <v>1005</v>
      </c>
      <c r="N70" s="1" t="s">
        <v>26</v>
      </c>
      <c r="O70">
        <v>2018</v>
      </c>
      <c r="P70" t="s">
        <v>106</v>
      </c>
      <c r="Q70" t="s">
        <v>67</v>
      </c>
      <c r="R70" t="s">
        <v>68</v>
      </c>
    </row>
    <row r="71" spans="1:18" x14ac:dyDescent="0.25">
      <c r="A71" t="s">
        <v>18</v>
      </c>
      <c r="B71" t="s">
        <v>198</v>
      </c>
      <c r="C71" t="s">
        <v>581</v>
      </c>
      <c r="D71" s="1" t="s">
        <v>21</v>
      </c>
      <c r="E71">
        <v>52.333300000000001</v>
      </c>
      <c r="F71">
        <v>16.883299999999998</v>
      </c>
      <c r="G71" t="s">
        <v>22</v>
      </c>
      <c r="H71" t="s">
        <v>23</v>
      </c>
      <c r="I71" t="s">
        <v>44</v>
      </c>
      <c r="J71" t="s">
        <v>45</v>
      </c>
      <c r="K71">
        <v>2</v>
      </c>
      <c r="L71">
        <v>435</v>
      </c>
      <c r="M71">
        <v>870</v>
      </c>
      <c r="N71" s="1" t="s">
        <v>156</v>
      </c>
      <c r="O71">
        <v>2018</v>
      </c>
      <c r="P71" t="s">
        <v>55</v>
      </c>
      <c r="Q71" t="s">
        <v>56</v>
      </c>
      <c r="R71" t="s">
        <v>57</v>
      </c>
    </row>
    <row r="72" spans="1:18" x14ac:dyDescent="0.25">
      <c r="A72" t="s">
        <v>18</v>
      </c>
      <c r="B72" t="s">
        <v>138</v>
      </c>
      <c r="C72" t="s">
        <v>563</v>
      </c>
      <c r="D72" s="1" t="s">
        <v>21</v>
      </c>
      <c r="E72">
        <v>53.2667</v>
      </c>
      <c r="F72">
        <v>16.466699999999999</v>
      </c>
      <c r="G72" t="s">
        <v>22</v>
      </c>
      <c r="H72" t="s">
        <v>74</v>
      </c>
      <c r="I72" t="s">
        <v>161</v>
      </c>
      <c r="J72" t="s">
        <v>25</v>
      </c>
      <c r="K72">
        <v>6</v>
      </c>
      <c r="L72">
        <v>488</v>
      </c>
      <c r="M72">
        <v>2928</v>
      </c>
      <c r="N72" s="1" t="s">
        <v>26</v>
      </c>
      <c r="O72">
        <v>2018</v>
      </c>
      <c r="P72" t="s">
        <v>50</v>
      </c>
      <c r="Q72" t="s">
        <v>28</v>
      </c>
      <c r="R72" t="s">
        <v>29</v>
      </c>
    </row>
    <row r="73" spans="1:18" x14ac:dyDescent="0.25">
      <c r="A73" t="s">
        <v>18</v>
      </c>
      <c r="B73" t="s">
        <v>199</v>
      </c>
      <c r="C73" t="s">
        <v>582</v>
      </c>
      <c r="D73" s="1" t="s">
        <v>21</v>
      </c>
      <c r="E73">
        <v>52.2453</v>
      </c>
      <c r="F73">
        <v>19.6236</v>
      </c>
      <c r="G73" t="s">
        <v>22</v>
      </c>
      <c r="H73" t="s">
        <v>74</v>
      </c>
      <c r="I73" t="s">
        <v>200</v>
      </c>
      <c r="J73" t="s">
        <v>45</v>
      </c>
      <c r="K73">
        <v>10</v>
      </c>
      <c r="L73">
        <v>179</v>
      </c>
      <c r="M73">
        <v>1790</v>
      </c>
      <c r="N73" s="1" t="s">
        <v>26</v>
      </c>
      <c r="O73">
        <v>2018</v>
      </c>
      <c r="P73" t="s">
        <v>66</v>
      </c>
      <c r="Q73" t="s">
        <v>67</v>
      </c>
      <c r="R73" t="s">
        <v>68</v>
      </c>
    </row>
    <row r="74" spans="1:18" x14ac:dyDescent="0.25">
      <c r="A74" t="s">
        <v>18</v>
      </c>
      <c r="B74" t="s">
        <v>177</v>
      </c>
      <c r="C74" t="s">
        <v>178</v>
      </c>
      <c r="D74" s="1" t="s">
        <v>21</v>
      </c>
      <c r="E74">
        <v>53.252400000000002</v>
      </c>
      <c r="F74">
        <v>14.488300000000001</v>
      </c>
      <c r="G74" t="s">
        <v>22</v>
      </c>
      <c r="H74" t="s">
        <v>74</v>
      </c>
      <c r="I74" t="s">
        <v>201</v>
      </c>
      <c r="J74" t="s">
        <v>45</v>
      </c>
      <c r="K74">
        <v>6</v>
      </c>
      <c r="L74">
        <v>682</v>
      </c>
      <c r="M74">
        <v>4092</v>
      </c>
      <c r="N74" s="1" t="s">
        <v>26</v>
      </c>
      <c r="O74">
        <v>2018</v>
      </c>
      <c r="P74" t="s">
        <v>27</v>
      </c>
      <c r="Q74" t="s">
        <v>28</v>
      </c>
      <c r="R74" t="s">
        <v>29</v>
      </c>
    </row>
    <row r="75" spans="1:18" x14ac:dyDescent="0.25">
      <c r="A75" t="s">
        <v>18</v>
      </c>
      <c r="B75" t="s">
        <v>183</v>
      </c>
      <c r="C75" t="s">
        <v>184</v>
      </c>
      <c r="D75" s="1" t="s">
        <v>21</v>
      </c>
      <c r="E75">
        <v>50.583300000000001</v>
      </c>
      <c r="F75">
        <v>21.683299999999999</v>
      </c>
      <c r="G75" t="s">
        <v>31</v>
      </c>
      <c r="H75" t="s">
        <v>32</v>
      </c>
      <c r="I75" t="s">
        <v>202</v>
      </c>
      <c r="J75" t="s">
        <v>34</v>
      </c>
      <c r="K75">
        <v>3</v>
      </c>
      <c r="L75">
        <v>497</v>
      </c>
      <c r="N75" s="1" t="s">
        <v>26</v>
      </c>
      <c r="O75">
        <v>2018</v>
      </c>
      <c r="P75" t="s">
        <v>77</v>
      </c>
      <c r="Q75" t="s">
        <v>56</v>
      </c>
      <c r="R75" t="s">
        <v>57</v>
      </c>
    </row>
    <row r="76" spans="1:18" x14ac:dyDescent="0.25">
      <c r="A76" t="s">
        <v>18</v>
      </c>
      <c r="B76" t="s">
        <v>114</v>
      </c>
      <c r="C76" t="s">
        <v>556</v>
      </c>
      <c r="D76" s="1" t="s">
        <v>21</v>
      </c>
      <c r="E76">
        <v>52.183300000000003</v>
      </c>
      <c r="F76">
        <v>20.85</v>
      </c>
      <c r="G76" t="s">
        <v>22</v>
      </c>
      <c r="H76" t="s">
        <v>23</v>
      </c>
      <c r="I76" t="s">
        <v>203</v>
      </c>
      <c r="J76" t="s">
        <v>80</v>
      </c>
      <c r="K76">
        <v>10</v>
      </c>
      <c r="L76">
        <v>269</v>
      </c>
      <c r="M76">
        <v>2690</v>
      </c>
      <c r="N76" s="1" t="s">
        <v>26</v>
      </c>
      <c r="O76">
        <v>2018</v>
      </c>
      <c r="P76" t="s">
        <v>40</v>
      </c>
      <c r="Q76" t="s">
        <v>41</v>
      </c>
      <c r="R76" t="s">
        <v>42</v>
      </c>
    </row>
    <row r="77" spans="1:18" x14ac:dyDescent="0.25">
      <c r="A77" t="s">
        <v>18</v>
      </c>
      <c r="B77" t="s">
        <v>204</v>
      </c>
      <c r="C77" t="s">
        <v>583</v>
      </c>
      <c r="D77" s="1" t="s">
        <v>21</v>
      </c>
      <c r="E77">
        <v>51.2667</v>
      </c>
      <c r="F77">
        <v>15.933299999999999</v>
      </c>
      <c r="G77" t="s">
        <v>31</v>
      </c>
      <c r="H77" t="s">
        <v>38</v>
      </c>
      <c r="I77" t="s">
        <v>205</v>
      </c>
      <c r="J77" t="s">
        <v>80</v>
      </c>
      <c r="K77">
        <v>2</v>
      </c>
      <c r="L77">
        <v>284</v>
      </c>
      <c r="M77">
        <v>568</v>
      </c>
      <c r="N77" s="1" t="s">
        <v>156</v>
      </c>
      <c r="O77">
        <v>2018</v>
      </c>
      <c r="P77" t="s">
        <v>103</v>
      </c>
      <c r="Q77" t="s">
        <v>56</v>
      </c>
      <c r="R77" t="s">
        <v>57</v>
      </c>
    </row>
    <row r="78" spans="1:18" x14ac:dyDescent="0.25">
      <c r="A78" t="s">
        <v>18</v>
      </c>
      <c r="B78" t="s">
        <v>206</v>
      </c>
      <c r="C78" t="s">
        <v>584</v>
      </c>
      <c r="D78" s="1" t="s">
        <v>21</v>
      </c>
      <c r="E78">
        <v>52.124299999999998</v>
      </c>
      <c r="F78">
        <v>20.665400000000002</v>
      </c>
      <c r="G78" t="s">
        <v>31</v>
      </c>
      <c r="H78" t="s">
        <v>32</v>
      </c>
      <c r="I78" t="s">
        <v>207</v>
      </c>
      <c r="J78" t="s">
        <v>45</v>
      </c>
      <c r="K78">
        <v>10</v>
      </c>
      <c r="L78">
        <v>624</v>
      </c>
      <c r="N78" s="1" t="s">
        <v>26</v>
      </c>
      <c r="O78">
        <v>2018</v>
      </c>
      <c r="P78" t="s">
        <v>50</v>
      </c>
      <c r="Q78" t="s">
        <v>28</v>
      </c>
      <c r="R78" t="s">
        <v>29</v>
      </c>
    </row>
    <row r="79" spans="1:18" x14ac:dyDescent="0.25">
      <c r="A79" t="s">
        <v>18</v>
      </c>
      <c r="B79" t="s">
        <v>208</v>
      </c>
      <c r="C79" t="s">
        <v>209</v>
      </c>
      <c r="D79" s="1" t="s">
        <v>21</v>
      </c>
      <c r="E79">
        <v>53.562800000000003</v>
      </c>
      <c r="F79">
        <v>20.985299999999999</v>
      </c>
      <c r="G79" t="s">
        <v>22</v>
      </c>
      <c r="H79" t="s">
        <v>74</v>
      </c>
      <c r="I79" t="s">
        <v>210</v>
      </c>
      <c r="J79" t="s">
        <v>45</v>
      </c>
      <c r="K79">
        <v>4</v>
      </c>
      <c r="L79">
        <v>746</v>
      </c>
      <c r="M79">
        <v>2984</v>
      </c>
      <c r="N79" s="1" t="s">
        <v>26</v>
      </c>
      <c r="O79">
        <v>2018</v>
      </c>
      <c r="P79" t="s">
        <v>95</v>
      </c>
      <c r="Q79" t="s">
        <v>67</v>
      </c>
      <c r="R79" t="s">
        <v>68</v>
      </c>
    </row>
    <row r="80" spans="1:18" x14ac:dyDescent="0.25">
      <c r="A80" t="s">
        <v>18</v>
      </c>
      <c r="B80" t="s">
        <v>211</v>
      </c>
      <c r="C80" t="s">
        <v>212</v>
      </c>
      <c r="D80" s="1" t="s">
        <v>21</v>
      </c>
      <c r="E80">
        <v>52.183300000000003</v>
      </c>
      <c r="F80">
        <v>22.283300000000001</v>
      </c>
      <c r="G80" t="s">
        <v>31</v>
      </c>
      <c r="H80" t="s">
        <v>32</v>
      </c>
      <c r="I80" t="s">
        <v>213</v>
      </c>
      <c r="J80" t="s">
        <v>88</v>
      </c>
      <c r="K80">
        <v>5</v>
      </c>
      <c r="L80">
        <v>628</v>
      </c>
      <c r="M80">
        <v>3140</v>
      </c>
      <c r="N80" s="1" t="s">
        <v>26</v>
      </c>
      <c r="O80">
        <v>2018</v>
      </c>
      <c r="P80" t="s">
        <v>50</v>
      </c>
      <c r="Q80" t="s">
        <v>28</v>
      </c>
      <c r="R80" t="s">
        <v>29</v>
      </c>
    </row>
    <row r="81" spans="1:18" x14ac:dyDescent="0.25">
      <c r="A81" t="s">
        <v>18</v>
      </c>
      <c r="B81" t="s">
        <v>214</v>
      </c>
      <c r="C81" t="s">
        <v>585</v>
      </c>
      <c r="D81" s="1" t="s">
        <v>21</v>
      </c>
      <c r="E81">
        <v>53.116700000000002</v>
      </c>
      <c r="F81">
        <v>23.166699999999999</v>
      </c>
      <c r="G81" t="s">
        <v>31</v>
      </c>
      <c r="H81" t="s">
        <v>32</v>
      </c>
      <c r="I81" t="s">
        <v>215</v>
      </c>
      <c r="J81" t="s">
        <v>80</v>
      </c>
      <c r="K81">
        <v>20</v>
      </c>
      <c r="L81">
        <v>137</v>
      </c>
      <c r="M81">
        <v>2740</v>
      </c>
      <c r="N81" s="1" t="s">
        <v>26</v>
      </c>
      <c r="O81">
        <v>2018</v>
      </c>
      <c r="P81" t="s">
        <v>106</v>
      </c>
      <c r="Q81" t="s">
        <v>67</v>
      </c>
      <c r="R81" t="s">
        <v>68</v>
      </c>
    </row>
    <row r="82" spans="1:18" x14ac:dyDescent="0.25">
      <c r="A82" t="s">
        <v>18</v>
      </c>
      <c r="B82" t="s">
        <v>216</v>
      </c>
      <c r="C82" t="s">
        <v>586</v>
      </c>
      <c r="D82" s="1" t="s">
        <v>21</v>
      </c>
      <c r="E82">
        <v>52.702500000000001</v>
      </c>
      <c r="F82">
        <v>21.082799999999999</v>
      </c>
      <c r="G82" t="s">
        <v>22</v>
      </c>
      <c r="H82" t="s">
        <v>23</v>
      </c>
      <c r="I82" t="s">
        <v>217</v>
      </c>
      <c r="J82" t="s">
        <v>80</v>
      </c>
      <c r="K82">
        <v>20</v>
      </c>
      <c r="L82">
        <v>627</v>
      </c>
      <c r="M82">
        <v>12540</v>
      </c>
      <c r="N82" s="1" t="s">
        <v>26</v>
      </c>
      <c r="O82">
        <v>2018</v>
      </c>
      <c r="P82" t="s">
        <v>66</v>
      </c>
      <c r="Q82" t="s">
        <v>67</v>
      </c>
      <c r="R82" t="s">
        <v>68</v>
      </c>
    </row>
    <row r="83" spans="1:18" x14ac:dyDescent="0.25">
      <c r="A83" t="s">
        <v>18</v>
      </c>
      <c r="B83" t="s">
        <v>58</v>
      </c>
      <c r="C83" t="s">
        <v>543</v>
      </c>
      <c r="D83" s="1" t="s">
        <v>218</v>
      </c>
      <c r="E83">
        <v>52.7958</v>
      </c>
      <c r="F83">
        <v>18.261099999999999</v>
      </c>
      <c r="G83" t="s">
        <v>31</v>
      </c>
      <c r="H83" t="s">
        <v>32</v>
      </c>
      <c r="I83" t="s">
        <v>219</v>
      </c>
      <c r="J83" t="s">
        <v>117</v>
      </c>
      <c r="K83">
        <v>35</v>
      </c>
      <c r="L83">
        <v>713</v>
      </c>
      <c r="M83">
        <v>24955</v>
      </c>
      <c r="N83" s="1" t="s">
        <v>26</v>
      </c>
      <c r="O83">
        <v>2018</v>
      </c>
      <c r="P83" t="s">
        <v>103</v>
      </c>
      <c r="Q83" t="s">
        <v>56</v>
      </c>
      <c r="R83" t="s">
        <v>57</v>
      </c>
    </row>
    <row r="84" spans="1:18" x14ac:dyDescent="0.25">
      <c r="A84" t="s">
        <v>18</v>
      </c>
      <c r="B84" t="s">
        <v>220</v>
      </c>
      <c r="C84" t="s">
        <v>587</v>
      </c>
      <c r="D84" s="1" t="s">
        <v>21</v>
      </c>
      <c r="E84">
        <v>50.323900000000002</v>
      </c>
      <c r="F84">
        <v>19.194700000000001</v>
      </c>
      <c r="G84" t="s">
        <v>22</v>
      </c>
      <c r="H84" t="s">
        <v>74</v>
      </c>
      <c r="I84" t="s">
        <v>102</v>
      </c>
      <c r="J84" t="s">
        <v>80</v>
      </c>
      <c r="K84">
        <v>24</v>
      </c>
      <c r="L84">
        <v>307</v>
      </c>
      <c r="M84">
        <v>7368</v>
      </c>
      <c r="N84" s="1" t="s">
        <v>26</v>
      </c>
      <c r="O84">
        <v>2018</v>
      </c>
      <c r="P84" t="s">
        <v>106</v>
      </c>
      <c r="Q84" t="s">
        <v>67</v>
      </c>
      <c r="R84" t="s">
        <v>68</v>
      </c>
    </row>
    <row r="85" spans="1:18" x14ac:dyDescent="0.25">
      <c r="A85" t="s">
        <v>18</v>
      </c>
      <c r="B85" t="s">
        <v>221</v>
      </c>
      <c r="C85" t="s">
        <v>222</v>
      </c>
      <c r="D85" s="1" t="s">
        <v>21</v>
      </c>
      <c r="E85">
        <v>51.783299999999997</v>
      </c>
      <c r="F85">
        <v>21.2</v>
      </c>
      <c r="G85" t="s">
        <v>22</v>
      </c>
      <c r="H85" t="s">
        <v>23</v>
      </c>
      <c r="I85" t="s">
        <v>219</v>
      </c>
      <c r="J85" t="s">
        <v>117</v>
      </c>
      <c r="K85">
        <v>4</v>
      </c>
      <c r="L85">
        <v>713</v>
      </c>
      <c r="M85">
        <v>2852</v>
      </c>
      <c r="N85" s="1" t="s">
        <v>26</v>
      </c>
      <c r="O85">
        <v>2018</v>
      </c>
      <c r="P85" t="s">
        <v>60</v>
      </c>
      <c r="Q85" t="s">
        <v>28</v>
      </c>
      <c r="R85" t="s">
        <v>29</v>
      </c>
    </row>
    <row r="86" spans="1:18" x14ac:dyDescent="0.25">
      <c r="A86" t="s">
        <v>18</v>
      </c>
      <c r="B86" t="s">
        <v>223</v>
      </c>
      <c r="C86" t="s">
        <v>224</v>
      </c>
      <c r="D86" s="1" t="s">
        <v>21</v>
      </c>
      <c r="E86">
        <v>53.416699999999999</v>
      </c>
      <c r="F86">
        <v>19.583300000000001</v>
      </c>
      <c r="G86" t="s">
        <v>22</v>
      </c>
      <c r="H86" t="s">
        <v>74</v>
      </c>
      <c r="I86" t="s">
        <v>39</v>
      </c>
      <c r="J86" t="s">
        <v>34</v>
      </c>
      <c r="K86">
        <v>60</v>
      </c>
      <c r="L86">
        <v>66</v>
      </c>
      <c r="M86">
        <v>3960</v>
      </c>
      <c r="N86" s="1" t="s">
        <v>26</v>
      </c>
      <c r="O86">
        <v>2018</v>
      </c>
      <c r="P86" t="s">
        <v>60</v>
      </c>
      <c r="Q86" t="s">
        <v>28</v>
      </c>
      <c r="R86" t="s">
        <v>29</v>
      </c>
    </row>
    <row r="87" spans="1:18" x14ac:dyDescent="0.25">
      <c r="A87" t="s">
        <v>18</v>
      </c>
      <c r="B87" t="s">
        <v>159</v>
      </c>
      <c r="C87" t="s">
        <v>160</v>
      </c>
      <c r="D87" s="1" t="s">
        <v>21</v>
      </c>
      <c r="E87">
        <v>53.755800000000001</v>
      </c>
      <c r="F87">
        <v>19.197500000000002</v>
      </c>
      <c r="G87" t="s">
        <v>22</v>
      </c>
      <c r="H87" t="s">
        <v>74</v>
      </c>
      <c r="I87" t="s">
        <v>219</v>
      </c>
      <c r="J87" t="s">
        <v>117</v>
      </c>
      <c r="K87">
        <v>5</v>
      </c>
      <c r="L87">
        <v>713</v>
      </c>
      <c r="M87">
        <v>3565</v>
      </c>
      <c r="N87" s="1" t="s">
        <v>26</v>
      </c>
      <c r="O87">
        <v>2018</v>
      </c>
      <c r="P87" t="s">
        <v>81</v>
      </c>
      <c r="Q87" t="s">
        <v>41</v>
      </c>
      <c r="R87" t="s">
        <v>42</v>
      </c>
    </row>
    <row r="88" spans="1:18" x14ac:dyDescent="0.25">
      <c r="A88" t="s">
        <v>18</v>
      </c>
      <c r="B88" t="s">
        <v>225</v>
      </c>
      <c r="C88" t="s">
        <v>588</v>
      </c>
      <c r="D88" s="1" t="s">
        <v>218</v>
      </c>
      <c r="E88">
        <v>51.4</v>
      </c>
      <c r="F88">
        <v>19.683299999999999</v>
      </c>
      <c r="G88" t="s">
        <v>22</v>
      </c>
      <c r="H88" t="s">
        <v>23</v>
      </c>
      <c r="I88" t="s">
        <v>226</v>
      </c>
      <c r="J88" t="s">
        <v>88</v>
      </c>
      <c r="K88">
        <v>15</v>
      </c>
      <c r="L88">
        <v>610</v>
      </c>
      <c r="M88">
        <v>9150</v>
      </c>
      <c r="N88" s="1" t="s">
        <v>26</v>
      </c>
      <c r="O88">
        <v>2018</v>
      </c>
      <c r="P88" t="s">
        <v>103</v>
      </c>
      <c r="Q88" t="s">
        <v>56</v>
      </c>
      <c r="R88" t="s">
        <v>57</v>
      </c>
    </row>
    <row r="89" spans="1:18" x14ac:dyDescent="0.25">
      <c r="A89" t="s">
        <v>18</v>
      </c>
      <c r="B89" t="s">
        <v>227</v>
      </c>
      <c r="C89" t="s">
        <v>228</v>
      </c>
      <c r="D89" s="1" t="s">
        <v>21</v>
      </c>
      <c r="E89">
        <v>50.672199999999997</v>
      </c>
      <c r="F89">
        <v>17.9253</v>
      </c>
      <c r="G89" t="s">
        <v>31</v>
      </c>
      <c r="H89" t="s">
        <v>32</v>
      </c>
      <c r="I89" t="s">
        <v>229</v>
      </c>
      <c r="J89" t="s">
        <v>80</v>
      </c>
      <c r="K89">
        <v>10</v>
      </c>
      <c r="L89">
        <v>794</v>
      </c>
      <c r="M89">
        <v>7940</v>
      </c>
      <c r="N89" s="1" t="s">
        <v>26</v>
      </c>
      <c r="O89">
        <v>2018</v>
      </c>
      <c r="P89" t="s">
        <v>66</v>
      </c>
      <c r="Q89" t="s">
        <v>67</v>
      </c>
      <c r="R89" t="s">
        <v>68</v>
      </c>
    </row>
    <row r="90" spans="1:18" x14ac:dyDescent="0.25">
      <c r="A90" t="s">
        <v>18</v>
      </c>
      <c r="B90" t="s">
        <v>126</v>
      </c>
      <c r="C90" t="s">
        <v>127</v>
      </c>
      <c r="D90" s="1" t="s">
        <v>21</v>
      </c>
      <c r="E90">
        <v>50.475099999999998</v>
      </c>
      <c r="F90">
        <v>17.965399999999999</v>
      </c>
      <c r="G90" t="s">
        <v>31</v>
      </c>
      <c r="H90" t="s">
        <v>38</v>
      </c>
      <c r="I90" t="s">
        <v>97</v>
      </c>
      <c r="J90" t="s">
        <v>80</v>
      </c>
      <c r="K90">
        <v>4</v>
      </c>
      <c r="L90">
        <v>288</v>
      </c>
      <c r="M90">
        <v>1152</v>
      </c>
      <c r="N90" s="1" t="s">
        <v>26</v>
      </c>
      <c r="O90">
        <v>2018</v>
      </c>
      <c r="P90" t="s">
        <v>50</v>
      </c>
      <c r="Q90" t="s">
        <v>28</v>
      </c>
      <c r="R90" t="s">
        <v>29</v>
      </c>
    </row>
    <row r="91" spans="1:18" x14ac:dyDescent="0.25">
      <c r="A91" t="s">
        <v>18</v>
      </c>
      <c r="B91" t="s">
        <v>230</v>
      </c>
      <c r="C91" t="s">
        <v>589</v>
      </c>
      <c r="D91" s="1" t="s">
        <v>21</v>
      </c>
      <c r="E91">
        <v>51.9833</v>
      </c>
      <c r="F91">
        <v>22.8</v>
      </c>
      <c r="G91" t="s">
        <v>31</v>
      </c>
      <c r="H91" t="s">
        <v>32</v>
      </c>
      <c r="I91" t="s">
        <v>131</v>
      </c>
      <c r="J91" t="s">
        <v>117</v>
      </c>
      <c r="K91">
        <v>2</v>
      </c>
      <c r="L91">
        <v>164</v>
      </c>
      <c r="M91">
        <v>328</v>
      </c>
      <c r="N91" s="1" t="s">
        <v>26</v>
      </c>
      <c r="O91">
        <v>2018</v>
      </c>
      <c r="P91" t="s">
        <v>40</v>
      </c>
      <c r="Q91" t="s">
        <v>41</v>
      </c>
      <c r="R91" t="s">
        <v>42</v>
      </c>
    </row>
    <row r="92" spans="1:18" x14ac:dyDescent="0.25">
      <c r="A92" t="s">
        <v>18</v>
      </c>
      <c r="B92" t="s">
        <v>231</v>
      </c>
      <c r="C92" t="s">
        <v>590</v>
      </c>
      <c r="D92" s="1" t="s">
        <v>21</v>
      </c>
      <c r="E92">
        <v>52.253100000000003</v>
      </c>
      <c r="F92">
        <v>15.9178</v>
      </c>
      <c r="G92" t="s">
        <v>22</v>
      </c>
      <c r="H92" t="s">
        <v>23</v>
      </c>
      <c r="I92" t="s">
        <v>232</v>
      </c>
      <c r="J92" t="s">
        <v>80</v>
      </c>
      <c r="K92">
        <v>5</v>
      </c>
      <c r="L92">
        <v>659</v>
      </c>
      <c r="M92">
        <v>3295</v>
      </c>
      <c r="N92" s="1" t="s">
        <v>26</v>
      </c>
      <c r="O92">
        <v>2018</v>
      </c>
      <c r="P92" t="s">
        <v>77</v>
      </c>
      <c r="Q92" t="s">
        <v>56</v>
      </c>
      <c r="R92" t="s">
        <v>57</v>
      </c>
    </row>
    <row r="93" spans="1:18" x14ac:dyDescent="0.25">
      <c r="A93" t="s">
        <v>18</v>
      </c>
      <c r="B93" t="s">
        <v>233</v>
      </c>
      <c r="C93" t="s">
        <v>234</v>
      </c>
      <c r="D93" s="1" t="s">
        <v>21</v>
      </c>
      <c r="E93">
        <v>54.383299999999998</v>
      </c>
      <c r="F93">
        <v>19.833300000000001</v>
      </c>
      <c r="G93" t="s">
        <v>31</v>
      </c>
      <c r="H93" t="s">
        <v>32</v>
      </c>
      <c r="I93" t="s">
        <v>235</v>
      </c>
      <c r="J93" t="s">
        <v>88</v>
      </c>
      <c r="K93">
        <v>6</v>
      </c>
      <c r="L93">
        <v>385</v>
      </c>
      <c r="M93">
        <v>2310</v>
      </c>
      <c r="N93" s="1" t="s">
        <v>156</v>
      </c>
      <c r="O93">
        <v>2018</v>
      </c>
      <c r="P93" t="s">
        <v>66</v>
      </c>
      <c r="Q93" t="s">
        <v>67</v>
      </c>
      <c r="R93" t="s">
        <v>68</v>
      </c>
    </row>
    <row r="94" spans="1:18" x14ac:dyDescent="0.25">
      <c r="A94" t="s">
        <v>18</v>
      </c>
      <c r="B94" t="s">
        <v>236</v>
      </c>
      <c r="C94" t="s">
        <v>237</v>
      </c>
      <c r="D94" s="1" t="s">
        <v>21</v>
      </c>
      <c r="E94">
        <v>50.297600000000003</v>
      </c>
      <c r="F94">
        <v>18.676600000000001</v>
      </c>
      <c r="G94" t="s">
        <v>31</v>
      </c>
      <c r="H94" t="s">
        <v>32</v>
      </c>
      <c r="I94" t="s">
        <v>62</v>
      </c>
      <c r="J94" t="s">
        <v>25</v>
      </c>
      <c r="K94">
        <v>5</v>
      </c>
      <c r="L94">
        <v>742</v>
      </c>
      <c r="M94">
        <v>3710</v>
      </c>
      <c r="N94" s="1" t="s">
        <v>26</v>
      </c>
      <c r="O94">
        <v>2018</v>
      </c>
      <c r="P94" t="s">
        <v>35</v>
      </c>
      <c r="Q94" t="s">
        <v>28</v>
      </c>
      <c r="R94" t="s">
        <v>29</v>
      </c>
    </row>
    <row r="95" spans="1:18" x14ac:dyDescent="0.25">
      <c r="A95" t="s">
        <v>18</v>
      </c>
      <c r="B95" t="s">
        <v>238</v>
      </c>
      <c r="C95" t="s">
        <v>239</v>
      </c>
      <c r="D95" s="1" t="s">
        <v>21</v>
      </c>
      <c r="E95">
        <v>49.75</v>
      </c>
      <c r="F95">
        <v>18.633299999999998</v>
      </c>
      <c r="G95" t="s">
        <v>31</v>
      </c>
      <c r="H95" t="s">
        <v>32</v>
      </c>
      <c r="I95" t="s">
        <v>131</v>
      </c>
      <c r="J95" t="s">
        <v>117</v>
      </c>
      <c r="K95">
        <v>3</v>
      </c>
      <c r="L95">
        <v>164</v>
      </c>
      <c r="M95">
        <v>492</v>
      </c>
      <c r="N95" s="1" t="s">
        <v>26</v>
      </c>
      <c r="O95">
        <v>2018</v>
      </c>
      <c r="P95" t="s">
        <v>81</v>
      </c>
      <c r="Q95" t="s">
        <v>41</v>
      </c>
      <c r="R95" t="s">
        <v>42</v>
      </c>
    </row>
    <row r="96" spans="1:18" x14ac:dyDescent="0.25">
      <c r="A96" t="s">
        <v>18</v>
      </c>
      <c r="B96" t="s">
        <v>240</v>
      </c>
      <c r="C96" t="s">
        <v>241</v>
      </c>
      <c r="D96" s="1" t="s">
        <v>21</v>
      </c>
      <c r="E96">
        <v>51.8</v>
      </c>
      <c r="F96">
        <v>16.3</v>
      </c>
      <c r="G96" t="s">
        <v>22</v>
      </c>
      <c r="H96" t="s">
        <v>23</v>
      </c>
      <c r="I96" t="s">
        <v>242</v>
      </c>
      <c r="J96" t="s">
        <v>45</v>
      </c>
      <c r="K96">
        <v>10</v>
      </c>
      <c r="L96">
        <v>298</v>
      </c>
      <c r="M96">
        <v>2980</v>
      </c>
      <c r="N96" s="1" t="s">
        <v>26</v>
      </c>
      <c r="O96">
        <v>2018</v>
      </c>
      <c r="P96" t="s">
        <v>95</v>
      </c>
      <c r="Q96" t="s">
        <v>67</v>
      </c>
      <c r="R96" t="s">
        <v>68</v>
      </c>
    </row>
    <row r="97" spans="1:18" x14ac:dyDescent="0.25">
      <c r="A97" t="s">
        <v>18</v>
      </c>
      <c r="B97" t="s">
        <v>243</v>
      </c>
      <c r="C97" t="s">
        <v>591</v>
      </c>
      <c r="D97" s="1" t="s">
        <v>21</v>
      </c>
      <c r="E97">
        <v>53.349200000000003</v>
      </c>
      <c r="F97">
        <v>18.426100000000002</v>
      </c>
      <c r="G97" t="s">
        <v>22</v>
      </c>
      <c r="H97" t="s">
        <v>23</v>
      </c>
      <c r="I97" t="s">
        <v>226</v>
      </c>
      <c r="J97" t="s">
        <v>88</v>
      </c>
      <c r="K97">
        <v>10</v>
      </c>
      <c r="L97">
        <v>610</v>
      </c>
      <c r="M97">
        <v>6100</v>
      </c>
      <c r="N97" s="1" t="s">
        <v>26</v>
      </c>
      <c r="O97">
        <v>2018</v>
      </c>
      <c r="P97" t="s">
        <v>81</v>
      </c>
      <c r="Q97" t="s">
        <v>41</v>
      </c>
      <c r="R97" t="s">
        <v>42</v>
      </c>
    </row>
    <row r="98" spans="1:18" x14ac:dyDescent="0.25">
      <c r="A98" t="s">
        <v>18</v>
      </c>
      <c r="B98" t="s">
        <v>244</v>
      </c>
      <c r="C98" t="s">
        <v>592</v>
      </c>
      <c r="D98" s="1" t="s">
        <v>21</v>
      </c>
      <c r="E98">
        <v>50.313099999999999</v>
      </c>
      <c r="F98">
        <v>17.374199999999998</v>
      </c>
      <c r="G98" t="s">
        <v>22</v>
      </c>
      <c r="H98" t="s">
        <v>74</v>
      </c>
      <c r="I98" t="s">
        <v>245</v>
      </c>
      <c r="J98" t="s">
        <v>80</v>
      </c>
      <c r="K98">
        <v>3</v>
      </c>
      <c r="L98">
        <v>318</v>
      </c>
      <c r="M98">
        <v>954</v>
      </c>
      <c r="N98" s="1" t="s">
        <v>26</v>
      </c>
      <c r="O98">
        <v>2018</v>
      </c>
      <c r="P98" t="s">
        <v>95</v>
      </c>
      <c r="Q98" t="s">
        <v>67</v>
      </c>
      <c r="R98" t="s">
        <v>68</v>
      </c>
    </row>
    <row r="99" spans="1:18" x14ac:dyDescent="0.25">
      <c r="A99" t="s">
        <v>18</v>
      </c>
      <c r="B99" t="s">
        <v>150</v>
      </c>
      <c r="C99" t="s">
        <v>569</v>
      </c>
      <c r="D99" s="1" t="s">
        <v>21</v>
      </c>
      <c r="E99">
        <v>54.166699999999999</v>
      </c>
      <c r="F99">
        <v>19.399999999999999</v>
      </c>
      <c r="G99" t="s">
        <v>31</v>
      </c>
      <c r="H99" t="s">
        <v>38</v>
      </c>
      <c r="I99" t="s">
        <v>246</v>
      </c>
      <c r="J99" t="s">
        <v>25</v>
      </c>
      <c r="K99">
        <v>6</v>
      </c>
      <c r="L99">
        <v>154</v>
      </c>
      <c r="M99">
        <v>924</v>
      </c>
      <c r="N99" s="1" t="s">
        <v>26</v>
      </c>
      <c r="O99">
        <v>2018</v>
      </c>
      <c r="P99" t="s">
        <v>40</v>
      </c>
      <c r="Q99" t="s">
        <v>41</v>
      </c>
      <c r="R99" t="s">
        <v>42</v>
      </c>
    </row>
    <row r="100" spans="1:18" x14ac:dyDescent="0.25">
      <c r="A100" t="s">
        <v>18</v>
      </c>
      <c r="B100" t="s">
        <v>110</v>
      </c>
      <c r="C100" t="s">
        <v>554</v>
      </c>
      <c r="D100" s="1" t="s">
        <v>21</v>
      </c>
      <c r="E100">
        <v>51.2667</v>
      </c>
      <c r="F100">
        <v>15.566700000000001</v>
      </c>
      <c r="G100" t="s">
        <v>31</v>
      </c>
      <c r="H100" t="s">
        <v>32</v>
      </c>
      <c r="I100" t="s">
        <v>247</v>
      </c>
      <c r="J100" t="s">
        <v>25</v>
      </c>
      <c r="K100">
        <v>30</v>
      </c>
      <c r="L100">
        <v>708</v>
      </c>
      <c r="M100">
        <v>21240</v>
      </c>
      <c r="N100" s="1" t="s">
        <v>26</v>
      </c>
      <c r="O100">
        <v>2018</v>
      </c>
      <c r="P100" t="s">
        <v>35</v>
      </c>
      <c r="Q100" t="s">
        <v>28</v>
      </c>
      <c r="R100" t="s">
        <v>29</v>
      </c>
    </row>
    <row r="101" spans="1:18" x14ac:dyDescent="0.25">
      <c r="A101" t="s">
        <v>18</v>
      </c>
      <c r="B101" t="s">
        <v>248</v>
      </c>
      <c r="C101" t="s">
        <v>593</v>
      </c>
      <c r="D101" s="1" t="s">
        <v>218</v>
      </c>
      <c r="E101">
        <v>53.816699999999997</v>
      </c>
      <c r="F101">
        <v>22.35</v>
      </c>
      <c r="G101" t="s">
        <v>31</v>
      </c>
      <c r="H101" t="s">
        <v>32</v>
      </c>
      <c r="I101" t="s">
        <v>249</v>
      </c>
      <c r="J101" t="s">
        <v>80</v>
      </c>
      <c r="K101">
        <v>4</v>
      </c>
      <c r="L101">
        <v>121</v>
      </c>
      <c r="M101">
        <v>484</v>
      </c>
      <c r="N101" s="1" t="s">
        <v>26</v>
      </c>
      <c r="O101">
        <v>2018</v>
      </c>
      <c r="P101" t="s">
        <v>66</v>
      </c>
      <c r="Q101" t="s">
        <v>67</v>
      </c>
      <c r="R101" t="s">
        <v>68</v>
      </c>
    </row>
    <row r="102" spans="1:18" x14ac:dyDescent="0.25">
      <c r="A102" t="s">
        <v>18</v>
      </c>
      <c r="B102" t="s">
        <v>43</v>
      </c>
      <c r="C102" t="s">
        <v>542</v>
      </c>
      <c r="D102" s="1" t="s">
        <v>21</v>
      </c>
      <c r="E102">
        <v>50.333300000000001</v>
      </c>
      <c r="F102">
        <v>19.083300000000001</v>
      </c>
      <c r="G102" t="s">
        <v>22</v>
      </c>
      <c r="H102" t="s">
        <v>23</v>
      </c>
      <c r="I102" t="s">
        <v>250</v>
      </c>
      <c r="J102" t="s">
        <v>88</v>
      </c>
      <c r="K102">
        <v>5</v>
      </c>
      <c r="L102">
        <v>470</v>
      </c>
      <c r="M102">
        <v>2350</v>
      </c>
      <c r="N102" s="1" t="s">
        <v>26</v>
      </c>
      <c r="O102">
        <v>2018</v>
      </c>
      <c r="P102" t="s">
        <v>60</v>
      </c>
      <c r="Q102" t="s">
        <v>28</v>
      </c>
      <c r="R102" t="s">
        <v>29</v>
      </c>
    </row>
    <row r="103" spans="1:18" x14ac:dyDescent="0.25">
      <c r="A103" t="s">
        <v>18</v>
      </c>
      <c r="B103" t="s">
        <v>225</v>
      </c>
      <c r="C103" t="s">
        <v>588</v>
      </c>
      <c r="D103" s="1" t="s">
        <v>21</v>
      </c>
      <c r="E103">
        <v>51.4</v>
      </c>
      <c r="F103">
        <v>19.683299999999999</v>
      </c>
      <c r="G103" t="s">
        <v>22</v>
      </c>
      <c r="H103" t="s">
        <v>23</v>
      </c>
      <c r="I103" t="s">
        <v>161</v>
      </c>
      <c r="J103" t="s">
        <v>25</v>
      </c>
      <c r="K103">
        <v>5</v>
      </c>
      <c r="L103">
        <v>488</v>
      </c>
      <c r="M103">
        <v>2440</v>
      </c>
      <c r="N103" s="1" t="s">
        <v>26</v>
      </c>
      <c r="O103">
        <v>2018</v>
      </c>
      <c r="P103" t="s">
        <v>40</v>
      </c>
      <c r="Q103" t="s">
        <v>41</v>
      </c>
      <c r="R103" t="s">
        <v>42</v>
      </c>
    </row>
    <row r="104" spans="1:18" x14ac:dyDescent="0.25">
      <c r="A104" t="s">
        <v>18</v>
      </c>
      <c r="B104" t="s">
        <v>69</v>
      </c>
      <c r="C104" t="s">
        <v>545</v>
      </c>
      <c r="D104" s="1" t="s">
        <v>21</v>
      </c>
      <c r="E104">
        <v>50.061399999999999</v>
      </c>
      <c r="F104">
        <v>19.937200000000001</v>
      </c>
      <c r="G104" t="s">
        <v>22</v>
      </c>
      <c r="H104" t="s">
        <v>23</v>
      </c>
      <c r="I104" t="s">
        <v>251</v>
      </c>
      <c r="J104" t="s">
        <v>80</v>
      </c>
      <c r="K104">
        <v>10</v>
      </c>
      <c r="L104">
        <v>647</v>
      </c>
      <c r="M104">
        <v>6470</v>
      </c>
      <c r="N104" s="1" t="s">
        <v>26</v>
      </c>
      <c r="O104">
        <v>2018</v>
      </c>
      <c r="P104" t="s">
        <v>71</v>
      </c>
      <c r="Q104" t="s">
        <v>41</v>
      </c>
      <c r="R104" t="s">
        <v>42</v>
      </c>
    </row>
    <row r="105" spans="1:18" x14ac:dyDescent="0.25">
      <c r="A105" t="s">
        <v>18</v>
      </c>
      <c r="B105" t="s">
        <v>252</v>
      </c>
      <c r="C105" t="s">
        <v>594</v>
      </c>
      <c r="D105" s="1" t="s">
        <v>21</v>
      </c>
      <c r="E105">
        <v>50.6</v>
      </c>
      <c r="F105">
        <v>17.0444</v>
      </c>
      <c r="G105" t="s">
        <v>22</v>
      </c>
      <c r="H105" t="s">
        <v>74</v>
      </c>
      <c r="I105" t="s">
        <v>253</v>
      </c>
      <c r="J105" t="s">
        <v>80</v>
      </c>
      <c r="K105">
        <v>6</v>
      </c>
      <c r="L105">
        <v>25</v>
      </c>
      <c r="M105">
        <v>150</v>
      </c>
      <c r="N105" s="1" t="s">
        <v>26</v>
      </c>
      <c r="O105">
        <v>2018</v>
      </c>
      <c r="P105" t="s">
        <v>106</v>
      </c>
      <c r="Q105" t="s">
        <v>67</v>
      </c>
      <c r="R105" t="s">
        <v>68</v>
      </c>
    </row>
    <row r="106" spans="1:18" x14ac:dyDescent="0.25">
      <c r="A106" t="s">
        <v>18</v>
      </c>
      <c r="B106" t="s">
        <v>254</v>
      </c>
      <c r="C106" t="s">
        <v>255</v>
      </c>
      <c r="D106" s="1" t="s">
        <v>218</v>
      </c>
      <c r="E106">
        <v>51.383299999999998</v>
      </c>
      <c r="F106">
        <v>20.283300000000001</v>
      </c>
      <c r="G106" t="s">
        <v>31</v>
      </c>
      <c r="H106" t="s">
        <v>38</v>
      </c>
      <c r="I106" t="s">
        <v>256</v>
      </c>
      <c r="J106" t="s">
        <v>80</v>
      </c>
      <c r="K106">
        <v>6</v>
      </c>
      <c r="L106">
        <v>182</v>
      </c>
      <c r="M106">
        <v>1092</v>
      </c>
      <c r="N106" s="1" t="s">
        <v>26</v>
      </c>
      <c r="O106">
        <v>2018</v>
      </c>
      <c r="P106" t="s">
        <v>40</v>
      </c>
      <c r="Q106" t="s">
        <v>41</v>
      </c>
      <c r="R106" t="s">
        <v>42</v>
      </c>
    </row>
    <row r="107" spans="1:18" x14ac:dyDescent="0.25">
      <c r="A107" t="s">
        <v>18</v>
      </c>
      <c r="B107" t="s">
        <v>257</v>
      </c>
      <c r="C107" t="s">
        <v>595</v>
      </c>
      <c r="D107" s="1" t="s">
        <v>21</v>
      </c>
      <c r="E107">
        <v>49.784999999999997</v>
      </c>
      <c r="F107">
        <v>22.767299999999999</v>
      </c>
      <c r="G107" t="s">
        <v>31</v>
      </c>
      <c r="H107" t="s">
        <v>38</v>
      </c>
      <c r="I107" t="s">
        <v>258</v>
      </c>
      <c r="J107" t="s">
        <v>25</v>
      </c>
      <c r="K107">
        <v>10</v>
      </c>
      <c r="L107">
        <v>130</v>
      </c>
      <c r="M107">
        <v>1300</v>
      </c>
      <c r="N107" s="1" t="s">
        <v>26</v>
      </c>
      <c r="O107">
        <v>2018</v>
      </c>
      <c r="P107" t="s">
        <v>55</v>
      </c>
      <c r="Q107" t="s">
        <v>56</v>
      </c>
      <c r="R107" t="s">
        <v>57</v>
      </c>
    </row>
    <row r="108" spans="1:18" x14ac:dyDescent="0.25">
      <c r="A108" t="s">
        <v>18</v>
      </c>
      <c r="B108" t="s">
        <v>259</v>
      </c>
      <c r="C108" t="s">
        <v>596</v>
      </c>
      <c r="D108" s="1" t="s">
        <v>21</v>
      </c>
      <c r="E108">
        <v>50.016199999999998</v>
      </c>
      <c r="F108">
        <v>22.677800000000001</v>
      </c>
      <c r="G108" t="s">
        <v>22</v>
      </c>
      <c r="H108" t="s">
        <v>74</v>
      </c>
      <c r="I108" t="s">
        <v>155</v>
      </c>
      <c r="J108" t="s">
        <v>34</v>
      </c>
      <c r="K108">
        <v>10</v>
      </c>
      <c r="L108">
        <v>122</v>
      </c>
      <c r="M108">
        <v>1220</v>
      </c>
      <c r="N108" s="1" t="s">
        <v>26</v>
      </c>
      <c r="O108">
        <v>2018</v>
      </c>
      <c r="P108" t="s">
        <v>106</v>
      </c>
      <c r="Q108" t="s">
        <v>67</v>
      </c>
      <c r="R108" t="s">
        <v>68</v>
      </c>
    </row>
    <row r="109" spans="1:18" x14ac:dyDescent="0.25">
      <c r="A109" t="s">
        <v>18</v>
      </c>
      <c r="B109" t="s">
        <v>260</v>
      </c>
      <c r="C109" t="s">
        <v>261</v>
      </c>
      <c r="D109" s="1" t="s">
        <v>21</v>
      </c>
      <c r="E109">
        <v>54.566699999999997</v>
      </c>
      <c r="F109">
        <v>18.399999999999999</v>
      </c>
      <c r="G109" t="s">
        <v>31</v>
      </c>
      <c r="H109" t="s">
        <v>32</v>
      </c>
      <c r="I109" t="s">
        <v>262</v>
      </c>
      <c r="J109" t="s">
        <v>80</v>
      </c>
      <c r="K109">
        <v>8</v>
      </c>
      <c r="L109">
        <v>655</v>
      </c>
      <c r="M109">
        <v>5240</v>
      </c>
      <c r="N109" s="1" t="s">
        <v>26</v>
      </c>
      <c r="O109">
        <v>2018</v>
      </c>
      <c r="P109" t="s">
        <v>35</v>
      </c>
      <c r="Q109" t="s">
        <v>28</v>
      </c>
      <c r="R109" t="s">
        <v>29</v>
      </c>
    </row>
    <row r="110" spans="1:18" x14ac:dyDescent="0.25">
      <c r="A110" t="s">
        <v>18</v>
      </c>
      <c r="B110" t="s">
        <v>263</v>
      </c>
      <c r="C110" t="s">
        <v>264</v>
      </c>
      <c r="D110" s="1" t="s">
        <v>21</v>
      </c>
      <c r="E110">
        <v>52.2333</v>
      </c>
      <c r="F110">
        <v>19.366700000000002</v>
      </c>
      <c r="G110" t="s">
        <v>31</v>
      </c>
      <c r="H110" t="s">
        <v>32</v>
      </c>
      <c r="I110" t="s">
        <v>265</v>
      </c>
      <c r="J110" t="s">
        <v>80</v>
      </c>
      <c r="K110">
        <v>5</v>
      </c>
      <c r="L110">
        <v>390</v>
      </c>
      <c r="M110">
        <v>1950</v>
      </c>
      <c r="N110" s="1" t="s">
        <v>26</v>
      </c>
      <c r="O110">
        <v>2018</v>
      </c>
      <c r="P110" t="s">
        <v>35</v>
      </c>
      <c r="Q110" t="s">
        <v>28</v>
      </c>
      <c r="R110" t="s">
        <v>29</v>
      </c>
    </row>
    <row r="111" spans="1:18" x14ac:dyDescent="0.25">
      <c r="A111" t="s">
        <v>18</v>
      </c>
      <c r="B111" t="s">
        <v>104</v>
      </c>
      <c r="C111" t="s">
        <v>553</v>
      </c>
      <c r="D111" s="1" t="s">
        <v>21</v>
      </c>
      <c r="E111">
        <v>50.55</v>
      </c>
      <c r="F111">
        <v>22.7333</v>
      </c>
      <c r="G111" t="s">
        <v>31</v>
      </c>
      <c r="H111" t="s">
        <v>38</v>
      </c>
      <c r="I111" t="s">
        <v>165</v>
      </c>
      <c r="J111" t="s">
        <v>25</v>
      </c>
      <c r="K111">
        <v>8</v>
      </c>
      <c r="L111">
        <v>391</v>
      </c>
      <c r="M111">
        <v>3128</v>
      </c>
      <c r="N111" s="1" t="s">
        <v>26</v>
      </c>
      <c r="O111">
        <v>2018</v>
      </c>
      <c r="P111" t="s">
        <v>40</v>
      </c>
      <c r="Q111" t="s">
        <v>41</v>
      </c>
      <c r="R111" t="s">
        <v>42</v>
      </c>
    </row>
    <row r="112" spans="1:18" x14ac:dyDescent="0.25">
      <c r="A112" t="s">
        <v>18</v>
      </c>
      <c r="B112" t="s">
        <v>266</v>
      </c>
      <c r="C112" t="s">
        <v>597</v>
      </c>
      <c r="D112" s="1" t="s">
        <v>21</v>
      </c>
      <c r="E112">
        <v>54.416699999999999</v>
      </c>
      <c r="F112">
        <v>16.416699999999999</v>
      </c>
      <c r="G112" t="s">
        <v>22</v>
      </c>
      <c r="H112" t="s">
        <v>23</v>
      </c>
      <c r="I112" t="s">
        <v>267</v>
      </c>
      <c r="J112" t="s">
        <v>88</v>
      </c>
      <c r="K112">
        <v>6</v>
      </c>
      <c r="L112">
        <v>782</v>
      </c>
      <c r="M112">
        <v>4692</v>
      </c>
      <c r="N112" s="1" t="s">
        <v>26</v>
      </c>
      <c r="O112">
        <v>2018</v>
      </c>
      <c r="P112" t="s">
        <v>95</v>
      </c>
      <c r="Q112" t="s">
        <v>67</v>
      </c>
      <c r="R112" t="s">
        <v>68</v>
      </c>
    </row>
    <row r="113" spans="1:18" x14ac:dyDescent="0.25">
      <c r="A113" t="s">
        <v>18</v>
      </c>
      <c r="B113" t="s">
        <v>268</v>
      </c>
      <c r="C113" t="s">
        <v>598</v>
      </c>
      <c r="D113" s="1" t="s">
        <v>21</v>
      </c>
      <c r="E113">
        <v>51.107700000000001</v>
      </c>
      <c r="F113">
        <v>17.035299999999999</v>
      </c>
      <c r="G113" t="s">
        <v>22</v>
      </c>
      <c r="H113" t="s">
        <v>23</v>
      </c>
      <c r="I113" t="s">
        <v>269</v>
      </c>
      <c r="J113" t="s">
        <v>88</v>
      </c>
      <c r="K113">
        <v>6</v>
      </c>
      <c r="L113">
        <v>492</v>
      </c>
      <c r="M113">
        <v>2952</v>
      </c>
      <c r="N113" s="1" t="s">
        <v>26</v>
      </c>
      <c r="O113">
        <v>2018</v>
      </c>
      <c r="P113" t="s">
        <v>66</v>
      </c>
      <c r="Q113" t="s">
        <v>67</v>
      </c>
      <c r="R113" t="s">
        <v>68</v>
      </c>
    </row>
    <row r="114" spans="1:18" x14ac:dyDescent="0.25">
      <c r="A114" t="s">
        <v>18</v>
      </c>
      <c r="B114" t="s">
        <v>270</v>
      </c>
      <c r="C114" t="s">
        <v>271</v>
      </c>
      <c r="D114" s="1" t="s">
        <v>21</v>
      </c>
      <c r="E114">
        <v>51</v>
      </c>
      <c r="F114">
        <v>16.333300000000001</v>
      </c>
      <c r="G114" t="s">
        <v>31</v>
      </c>
      <c r="H114" t="s">
        <v>38</v>
      </c>
      <c r="I114" t="s">
        <v>272</v>
      </c>
      <c r="J114" t="s">
        <v>25</v>
      </c>
      <c r="K114">
        <v>3</v>
      </c>
      <c r="L114">
        <v>520</v>
      </c>
      <c r="M114">
        <v>1560</v>
      </c>
      <c r="N114" s="1" t="s">
        <v>26</v>
      </c>
      <c r="O114">
        <v>2018</v>
      </c>
      <c r="P114" t="s">
        <v>81</v>
      </c>
      <c r="Q114" t="s">
        <v>41</v>
      </c>
      <c r="R114" t="s">
        <v>42</v>
      </c>
    </row>
    <row r="115" spans="1:18" x14ac:dyDescent="0.25">
      <c r="A115" t="s">
        <v>18</v>
      </c>
      <c r="B115" t="s">
        <v>273</v>
      </c>
      <c r="C115" t="s">
        <v>274</v>
      </c>
      <c r="D115" s="1" t="s">
        <v>21</v>
      </c>
      <c r="E115">
        <v>52.7667</v>
      </c>
      <c r="F115">
        <v>23.2</v>
      </c>
      <c r="G115" t="s">
        <v>22</v>
      </c>
      <c r="H115" t="s">
        <v>74</v>
      </c>
      <c r="I115" t="s">
        <v>275</v>
      </c>
      <c r="J115" t="s">
        <v>25</v>
      </c>
      <c r="K115">
        <v>6</v>
      </c>
      <c r="L115">
        <v>767</v>
      </c>
      <c r="M115">
        <v>0</v>
      </c>
      <c r="N115" s="1" t="s">
        <v>26</v>
      </c>
      <c r="O115">
        <v>2018</v>
      </c>
      <c r="P115" t="s">
        <v>50</v>
      </c>
      <c r="Q115" t="s">
        <v>28</v>
      </c>
      <c r="R115" t="s">
        <v>29</v>
      </c>
    </row>
    <row r="116" spans="1:18" x14ac:dyDescent="0.25">
      <c r="A116" t="s">
        <v>18</v>
      </c>
      <c r="B116" t="s">
        <v>276</v>
      </c>
      <c r="C116" t="s">
        <v>599</v>
      </c>
      <c r="D116" s="1" t="s">
        <v>21</v>
      </c>
      <c r="E116">
        <v>54.166699999999999</v>
      </c>
      <c r="F116">
        <v>17.5</v>
      </c>
      <c r="G116" t="s">
        <v>22</v>
      </c>
      <c r="H116" t="s">
        <v>23</v>
      </c>
      <c r="I116" t="s">
        <v>277</v>
      </c>
      <c r="J116" t="s">
        <v>34</v>
      </c>
      <c r="K116">
        <v>6</v>
      </c>
      <c r="L116">
        <v>452</v>
      </c>
      <c r="M116">
        <v>2712</v>
      </c>
      <c r="N116" s="1" t="s">
        <v>49</v>
      </c>
      <c r="O116">
        <v>2018</v>
      </c>
      <c r="P116" t="s">
        <v>95</v>
      </c>
      <c r="Q116" t="s">
        <v>67</v>
      </c>
      <c r="R116" t="s">
        <v>68</v>
      </c>
    </row>
    <row r="117" spans="1:18" x14ac:dyDescent="0.25">
      <c r="A117" t="s">
        <v>18</v>
      </c>
      <c r="B117" t="s">
        <v>278</v>
      </c>
      <c r="C117" t="s">
        <v>279</v>
      </c>
      <c r="D117" s="1" t="s">
        <v>21</v>
      </c>
      <c r="E117">
        <v>51.152799999999999</v>
      </c>
      <c r="F117">
        <v>15</v>
      </c>
      <c r="G117" t="s">
        <v>31</v>
      </c>
      <c r="H117" t="s">
        <v>38</v>
      </c>
      <c r="I117" t="s">
        <v>167</v>
      </c>
      <c r="J117" t="s">
        <v>117</v>
      </c>
      <c r="K117">
        <v>12</v>
      </c>
      <c r="L117">
        <v>75</v>
      </c>
      <c r="M117">
        <v>900</v>
      </c>
      <c r="N117" s="1" t="s">
        <v>49</v>
      </c>
      <c r="O117">
        <v>2018</v>
      </c>
      <c r="P117" t="s">
        <v>60</v>
      </c>
      <c r="Q117" t="s">
        <v>28</v>
      </c>
      <c r="R117" t="s">
        <v>29</v>
      </c>
    </row>
    <row r="118" spans="1:18" x14ac:dyDescent="0.25">
      <c r="A118" t="s">
        <v>18</v>
      </c>
      <c r="B118" t="s">
        <v>225</v>
      </c>
      <c r="C118" t="s">
        <v>588</v>
      </c>
      <c r="D118" s="1" t="s">
        <v>21</v>
      </c>
      <c r="E118">
        <v>51.4</v>
      </c>
      <c r="F118">
        <v>19.683299999999999</v>
      </c>
      <c r="G118" t="s">
        <v>22</v>
      </c>
      <c r="H118" t="s">
        <v>23</v>
      </c>
      <c r="I118" t="s">
        <v>280</v>
      </c>
      <c r="J118" t="s">
        <v>45</v>
      </c>
      <c r="K118">
        <v>5</v>
      </c>
      <c r="L118">
        <v>613</v>
      </c>
      <c r="M118">
        <v>3065</v>
      </c>
      <c r="N118" s="1" t="s">
        <v>26</v>
      </c>
      <c r="O118">
        <v>2018</v>
      </c>
      <c r="P118" t="s">
        <v>40</v>
      </c>
      <c r="Q118" t="s">
        <v>41</v>
      </c>
      <c r="R118" t="s">
        <v>42</v>
      </c>
    </row>
    <row r="119" spans="1:18" x14ac:dyDescent="0.25">
      <c r="A119" t="s">
        <v>18</v>
      </c>
      <c r="B119" t="s">
        <v>281</v>
      </c>
      <c r="C119" t="s">
        <v>600</v>
      </c>
      <c r="D119" s="1" t="s">
        <v>21</v>
      </c>
      <c r="E119">
        <v>51.030799999999999</v>
      </c>
      <c r="F119">
        <v>15.420199999999999</v>
      </c>
      <c r="G119" t="s">
        <v>22</v>
      </c>
      <c r="H119" t="s">
        <v>23</v>
      </c>
      <c r="I119" t="s">
        <v>282</v>
      </c>
      <c r="J119" t="s">
        <v>25</v>
      </c>
      <c r="K119">
        <v>20</v>
      </c>
      <c r="L119">
        <v>311</v>
      </c>
      <c r="M119">
        <v>6220</v>
      </c>
      <c r="N119" s="1" t="s">
        <v>283</v>
      </c>
      <c r="O119">
        <v>2018</v>
      </c>
      <c r="P119" t="s">
        <v>77</v>
      </c>
      <c r="Q119" t="s">
        <v>56</v>
      </c>
      <c r="R119" t="s">
        <v>57</v>
      </c>
    </row>
    <row r="120" spans="1:18" x14ac:dyDescent="0.25">
      <c r="A120" t="s">
        <v>18</v>
      </c>
      <c r="B120" t="s">
        <v>138</v>
      </c>
      <c r="C120" t="s">
        <v>563</v>
      </c>
      <c r="D120" s="1" t="s">
        <v>21</v>
      </c>
      <c r="E120">
        <v>53.2667</v>
      </c>
      <c r="F120">
        <v>16.466699999999999</v>
      </c>
      <c r="G120" t="s">
        <v>22</v>
      </c>
      <c r="H120" t="s">
        <v>74</v>
      </c>
      <c r="I120" t="s">
        <v>284</v>
      </c>
      <c r="J120" t="s">
        <v>34</v>
      </c>
      <c r="K120">
        <v>5</v>
      </c>
      <c r="L120">
        <v>611</v>
      </c>
      <c r="M120">
        <v>3055</v>
      </c>
      <c r="N120" s="1" t="s">
        <v>26</v>
      </c>
      <c r="O120">
        <v>2018</v>
      </c>
      <c r="P120" t="s">
        <v>81</v>
      </c>
      <c r="Q120" t="s">
        <v>41</v>
      </c>
      <c r="R120" t="s">
        <v>42</v>
      </c>
    </row>
    <row r="121" spans="1:18" x14ac:dyDescent="0.25">
      <c r="A121" t="s">
        <v>18</v>
      </c>
      <c r="B121" t="s">
        <v>164</v>
      </c>
      <c r="C121" t="s">
        <v>572</v>
      </c>
      <c r="D121" s="1" t="s">
        <v>21</v>
      </c>
      <c r="E121">
        <v>53.4925</v>
      </c>
      <c r="F121">
        <v>18.7761</v>
      </c>
      <c r="G121" t="s">
        <v>31</v>
      </c>
      <c r="H121" t="s">
        <v>32</v>
      </c>
      <c r="I121" t="s">
        <v>285</v>
      </c>
      <c r="J121" t="s">
        <v>34</v>
      </c>
      <c r="K121">
        <v>13</v>
      </c>
      <c r="L121">
        <v>773</v>
      </c>
      <c r="M121">
        <v>10049</v>
      </c>
      <c r="N121" s="1" t="s">
        <v>26</v>
      </c>
      <c r="O121">
        <v>2018</v>
      </c>
      <c r="P121" t="s">
        <v>40</v>
      </c>
      <c r="Q121" t="s">
        <v>41</v>
      </c>
      <c r="R121" t="s">
        <v>42</v>
      </c>
    </row>
    <row r="122" spans="1:18" x14ac:dyDescent="0.25">
      <c r="A122" t="s">
        <v>18</v>
      </c>
      <c r="B122" t="s">
        <v>231</v>
      </c>
      <c r="C122" t="s">
        <v>590</v>
      </c>
      <c r="D122" s="1" t="s">
        <v>21</v>
      </c>
      <c r="E122">
        <v>52.253100000000003</v>
      </c>
      <c r="F122">
        <v>15.9178</v>
      </c>
      <c r="G122" t="s">
        <v>22</v>
      </c>
      <c r="H122" t="s">
        <v>23</v>
      </c>
      <c r="I122" t="s">
        <v>62</v>
      </c>
      <c r="J122" t="s">
        <v>25</v>
      </c>
      <c r="K122">
        <v>20</v>
      </c>
      <c r="L122">
        <v>742</v>
      </c>
      <c r="M122">
        <v>14840</v>
      </c>
      <c r="N122" s="1" t="s">
        <v>26</v>
      </c>
      <c r="O122">
        <v>2018</v>
      </c>
      <c r="P122" t="s">
        <v>40</v>
      </c>
      <c r="Q122" t="s">
        <v>41</v>
      </c>
      <c r="R122" t="s">
        <v>42</v>
      </c>
    </row>
    <row r="123" spans="1:18" x14ac:dyDescent="0.25">
      <c r="A123" t="s">
        <v>18</v>
      </c>
      <c r="B123" t="s">
        <v>227</v>
      </c>
      <c r="C123" t="s">
        <v>228</v>
      </c>
      <c r="D123" s="1" t="s">
        <v>21</v>
      </c>
      <c r="E123">
        <v>50.672199999999997</v>
      </c>
      <c r="F123">
        <v>17.9253</v>
      </c>
      <c r="G123" t="s">
        <v>31</v>
      </c>
      <c r="H123" t="s">
        <v>32</v>
      </c>
      <c r="I123" t="s">
        <v>131</v>
      </c>
      <c r="J123" t="s">
        <v>117</v>
      </c>
      <c r="K123">
        <v>7</v>
      </c>
      <c r="L123">
        <v>164</v>
      </c>
      <c r="N123" s="1" t="s">
        <v>26</v>
      </c>
      <c r="O123">
        <v>2018</v>
      </c>
      <c r="P123" t="s">
        <v>71</v>
      </c>
      <c r="Q123" t="s">
        <v>41</v>
      </c>
      <c r="R123" t="s">
        <v>42</v>
      </c>
    </row>
    <row r="124" spans="1:18" x14ac:dyDescent="0.25">
      <c r="A124" t="s">
        <v>18</v>
      </c>
      <c r="B124" t="s">
        <v>278</v>
      </c>
      <c r="C124" t="s">
        <v>279</v>
      </c>
      <c r="D124" s="1" t="s">
        <v>21</v>
      </c>
      <c r="E124">
        <v>51.152799999999999</v>
      </c>
      <c r="F124">
        <v>15</v>
      </c>
      <c r="G124" t="s">
        <v>31</v>
      </c>
      <c r="H124" t="s">
        <v>38</v>
      </c>
      <c r="I124" t="s">
        <v>92</v>
      </c>
      <c r="J124" t="s">
        <v>45</v>
      </c>
      <c r="K124">
        <v>5</v>
      </c>
      <c r="L124">
        <v>605</v>
      </c>
      <c r="M124">
        <v>3025</v>
      </c>
      <c r="N124" s="1" t="s">
        <v>283</v>
      </c>
      <c r="O124">
        <v>2018</v>
      </c>
      <c r="P124" t="s">
        <v>106</v>
      </c>
      <c r="Q124" t="s">
        <v>67</v>
      </c>
      <c r="R124" t="s">
        <v>68</v>
      </c>
    </row>
    <row r="125" spans="1:18" x14ac:dyDescent="0.25">
      <c r="A125" t="s">
        <v>18</v>
      </c>
      <c r="B125" t="s">
        <v>19</v>
      </c>
      <c r="C125" t="s">
        <v>20</v>
      </c>
      <c r="D125" s="1" t="s">
        <v>21</v>
      </c>
      <c r="E125">
        <v>51.2333</v>
      </c>
      <c r="F125">
        <v>22.566700000000001</v>
      </c>
      <c r="G125" t="s">
        <v>22</v>
      </c>
      <c r="H125" t="s">
        <v>23</v>
      </c>
      <c r="I125" t="s">
        <v>196</v>
      </c>
      <c r="J125" t="s">
        <v>80</v>
      </c>
      <c r="K125">
        <v>30</v>
      </c>
      <c r="L125">
        <v>26</v>
      </c>
      <c r="M125">
        <v>780</v>
      </c>
      <c r="N125" s="1" t="s">
        <v>26</v>
      </c>
      <c r="O125">
        <v>2018</v>
      </c>
      <c r="P125" t="s">
        <v>77</v>
      </c>
      <c r="Q125" t="s">
        <v>56</v>
      </c>
      <c r="R125" t="s">
        <v>57</v>
      </c>
    </row>
    <row r="126" spans="1:18" x14ac:dyDescent="0.25">
      <c r="A126" t="s">
        <v>18</v>
      </c>
      <c r="B126" t="s">
        <v>140</v>
      </c>
      <c r="C126" t="s">
        <v>564</v>
      </c>
      <c r="D126" s="1" t="s">
        <v>21</v>
      </c>
      <c r="E126">
        <v>49.882100000000001</v>
      </c>
      <c r="F126">
        <v>19.223299999999998</v>
      </c>
      <c r="G126" t="s">
        <v>31</v>
      </c>
      <c r="H126" t="s">
        <v>38</v>
      </c>
      <c r="I126" t="s">
        <v>286</v>
      </c>
      <c r="J126" t="s">
        <v>45</v>
      </c>
      <c r="K126">
        <v>56</v>
      </c>
      <c r="L126">
        <v>529</v>
      </c>
      <c r="M126">
        <v>29624</v>
      </c>
      <c r="N126" s="1" t="s">
        <v>156</v>
      </c>
      <c r="O126">
        <v>2018</v>
      </c>
      <c r="P126" t="s">
        <v>60</v>
      </c>
      <c r="Q126" t="s">
        <v>28</v>
      </c>
      <c r="R126" t="s">
        <v>29</v>
      </c>
    </row>
    <row r="127" spans="1:18" x14ac:dyDescent="0.25">
      <c r="A127" t="s">
        <v>18</v>
      </c>
      <c r="B127" t="s">
        <v>287</v>
      </c>
      <c r="C127" t="s">
        <v>601</v>
      </c>
      <c r="D127" s="1" t="s">
        <v>218</v>
      </c>
      <c r="E127">
        <v>52.65</v>
      </c>
      <c r="F127">
        <v>19.05</v>
      </c>
      <c r="G127" t="s">
        <v>22</v>
      </c>
      <c r="H127" t="s">
        <v>23</v>
      </c>
      <c r="I127" t="s">
        <v>288</v>
      </c>
      <c r="J127" t="s">
        <v>34</v>
      </c>
      <c r="K127">
        <v>1</v>
      </c>
      <c r="L127">
        <v>401</v>
      </c>
      <c r="M127">
        <v>401</v>
      </c>
      <c r="N127" s="1" t="s">
        <v>26</v>
      </c>
      <c r="O127">
        <v>2018</v>
      </c>
      <c r="P127" t="s">
        <v>66</v>
      </c>
      <c r="Q127" t="s">
        <v>67</v>
      </c>
      <c r="R127" t="s">
        <v>68</v>
      </c>
    </row>
    <row r="128" spans="1:18" x14ac:dyDescent="0.25">
      <c r="A128" t="s">
        <v>18</v>
      </c>
      <c r="B128" t="s">
        <v>126</v>
      </c>
      <c r="C128" t="s">
        <v>127</v>
      </c>
      <c r="D128" s="1" t="s">
        <v>21</v>
      </c>
      <c r="E128">
        <v>50.475099999999998</v>
      </c>
      <c r="F128">
        <v>17.965399999999999</v>
      </c>
      <c r="G128" t="s">
        <v>31</v>
      </c>
      <c r="H128" t="s">
        <v>38</v>
      </c>
      <c r="I128" t="s">
        <v>111</v>
      </c>
      <c r="J128" t="s">
        <v>34</v>
      </c>
      <c r="K128">
        <v>2</v>
      </c>
      <c r="L128">
        <v>215</v>
      </c>
      <c r="M128">
        <v>430</v>
      </c>
      <c r="N128" s="1" t="s">
        <v>289</v>
      </c>
      <c r="O128">
        <v>2018</v>
      </c>
      <c r="P128" t="s">
        <v>71</v>
      </c>
      <c r="Q128" t="s">
        <v>41</v>
      </c>
      <c r="R128" t="s">
        <v>42</v>
      </c>
    </row>
    <row r="129" spans="1:18" x14ac:dyDescent="0.25">
      <c r="A129" t="s">
        <v>18</v>
      </c>
      <c r="B129" t="s">
        <v>290</v>
      </c>
      <c r="C129" t="s">
        <v>602</v>
      </c>
      <c r="D129" s="1" t="s">
        <v>21</v>
      </c>
      <c r="E129">
        <v>51.3</v>
      </c>
      <c r="F129">
        <v>22.883299999999998</v>
      </c>
      <c r="G129" t="s">
        <v>31</v>
      </c>
      <c r="H129" t="s">
        <v>38</v>
      </c>
      <c r="I129" t="s">
        <v>99</v>
      </c>
      <c r="J129" t="s">
        <v>45</v>
      </c>
      <c r="K129">
        <v>5</v>
      </c>
      <c r="L129">
        <v>414</v>
      </c>
      <c r="M129">
        <v>2070</v>
      </c>
      <c r="N129" s="1" t="s">
        <v>26</v>
      </c>
      <c r="O129">
        <v>2018</v>
      </c>
      <c r="P129" t="s">
        <v>66</v>
      </c>
      <c r="Q129" t="s">
        <v>67</v>
      </c>
      <c r="R129" t="s">
        <v>68</v>
      </c>
    </row>
    <row r="130" spans="1:18" x14ac:dyDescent="0.25">
      <c r="A130" t="s">
        <v>18</v>
      </c>
      <c r="B130" t="s">
        <v>291</v>
      </c>
      <c r="C130" t="s">
        <v>603</v>
      </c>
      <c r="D130" s="1" t="s">
        <v>21</v>
      </c>
      <c r="E130">
        <v>50.033900000000003</v>
      </c>
      <c r="F130">
        <v>20.217199999999998</v>
      </c>
      <c r="G130" t="s">
        <v>22</v>
      </c>
      <c r="H130" t="s">
        <v>23</v>
      </c>
      <c r="I130" t="s">
        <v>292</v>
      </c>
      <c r="J130" t="s">
        <v>45</v>
      </c>
      <c r="K130">
        <v>1</v>
      </c>
      <c r="L130">
        <v>173</v>
      </c>
      <c r="M130">
        <v>0</v>
      </c>
      <c r="N130" s="1" t="s">
        <v>283</v>
      </c>
      <c r="O130">
        <v>2018</v>
      </c>
      <c r="P130" t="s">
        <v>103</v>
      </c>
      <c r="Q130" t="s">
        <v>56</v>
      </c>
      <c r="R130" t="s">
        <v>57</v>
      </c>
    </row>
    <row r="131" spans="1:18" x14ac:dyDescent="0.25">
      <c r="A131" t="s">
        <v>18</v>
      </c>
      <c r="B131" t="s">
        <v>293</v>
      </c>
      <c r="C131" t="s">
        <v>294</v>
      </c>
      <c r="D131" s="1" t="s">
        <v>218</v>
      </c>
      <c r="E131">
        <v>50.9833</v>
      </c>
      <c r="F131">
        <v>18.216699999999999</v>
      </c>
      <c r="G131" t="s">
        <v>22</v>
      </c>
      <c r="H131" t="s">
        <v>74</v>
      </c>
      <c r="I131" t="s">
        <v>62</v>
      </c>
      <c r="J131" t="s">
        <v>25</v>
      </c>
      <c r="K131">
        <v>30</v>
      </c>
      <c r="L131">
        <v>742</v>
      </c>
      <c r="M131">
        <v>22260</v>
      </c>
      <c r="N131" s="1" t="s">
        <v>26</v>
      </c>
      <c r="O131">
        <v>2018</v>
      </c>
      <c r="P131" t="s">
        <v>55</v>
      </c>
      <c r="Q131" t="s">
        <v>56</v>
      </c>
      <c r="R131" t="s">
        <v>57</v>
      </c>
    </row>
    <row r="132" spans="1:18" x14ac:dyDescent="0.25">
      <c r="A132" t="s">
        <v>18</v>
      </c>
      <c r="B132" t="s">
        <v>295</v>
      </c>
      <c r="C132" t="s">
        <v>296</v>
      </c>
      <c r="D132" s="1" t="s">
        <v>21</v>
      </c>
      <c r="E132">
        <v>51.05</v>
      </c>
      <c r="F132">
        <v>16.183299999999999</v>
      </c>
      <c r="G132" t="s">
        <v>22</v>
      </c>
      <c r="H132" t="s">
        <v>23</v>
      </c>
      <c r="I132" t="s">
        <v>109</v>
      </c>
      <c r="J132" t="s">
        <v>80</v>
      </c>
      <c r="K132">
        <v>1</v>
      </c>
      <c r="L132">
        <v>765</v>
      </c>
      <c r="M132">
        <v>765</v>
      </c>
      <c r="N132" s="1" t="s">
        <v>49</v>
      </c>
      <c r="O132">
        <v>2018</v>
      </c>
      <c r="P132" t="s">
        <v>27</v>
      </c>
      <c r="Q132" t="s">
        <v>28</v>
      </c>
      <c r="R132" t="s">
        <v>29</v>
      </c>
    </row>
    <row r="133" spans="1:18" x14ac:dyDescent="0.25">
      <c r="A133" t="s">
        <v>18</v>
      </c>
      <c r="B133" t="s">
        <v>297</v>
      </c>
      <c r="C133" t="s">
        <v>604</v>
      </c>
      <c r="D133" s="1" t="s">
        <v>21</v>
      </c>
      <c r="E133">
        <v>52.083300000000001</v>
      </c>
      <c r="F133">
        <v>16.649999999999999</v>
      </c>
      <c r="G133" t="s">
        <v>22</v>
      </c>
      <c r="H133" t="s">
        <v>23</v>
      </c>
      <c r="I133" t="s">
        <v>213</v>
      </c>
      <c r="J133" t="s">
        <v>88</v>
      </c>
      <c r="K133">
        <v>4</v>
      </c>
      <c r="L133">
        <v>628</v>
      </c>
      <c r="M133">
        <v>2512</v>
      </c>
      <c r="N133" s="1" t="s">
        <v>26</v>
      </c>
      <c r="O133">
        <v>2018</v>
      </c>
      <c r="P133" t="s">
        <v>71</v>
      </c>
      <c r="Q133" t="s">
        <v>41</v>
      </c>
      <c r="R133" t="s">
        <v>42</v>
      </c>
    </row>
    <row r="134" spans="1:18" x14ac:dyDescent="0.25">
      <c r="A134" t="s">
        <v>18</v>
      </c>
      <c r="B134" t="s">
        <v>298</v>
      </c>
      <c r="C134" t="s">
        <v>299</v>
      </c>
      <c r="D134" s="1" t="s">
        <v>21</v>
      </c>
      <c r="E134">
        <v>50.872500000000002</v>
      </c>
      <c r="F134">
        <v>20.631900000000002</v>
      </c>
      <c r="G134" t="s">
        <v>31</v>
      </c>
      <c r="H134" t="s">
        <v>38</v>
      </c>
      <c r="I134" t="s">
        <v>300</v>
      </c>
      <c r="J134" t="s">
        <v>117</v>
      </c>
      <c r="K134">
        <v>4</v>
      </c>
      <c r="L134">
        <v>248</v>
      </c>
      <c r="M134">
        <v>992</v>
      </c>
      <c r="N134" s="1" t="s">
        <v>26</v>
      </c>
      <c r="O134">
        <v>2018</v>
      </c>
      <c r="P134" t="s">
        <v>50</v>
      </c>
      <c r="Q134" t="s">
        <v>28</v>
      </c>
      <c r="R134" t="s">
        <v>29</v>
      </c>
    </row>
    <row r="135" spans="1:18" x14ac:dyDescent="0.25">
      <c r="A135" t="s">
        <v>18</v>
      </c>
      <c r="B135" t="s">
        <v>301</v>
      </c>
      <c r="C135" t="s">
        <v>605</v>
      </c>
      <c r="D135" s="1" t="s">
        <v>21</v>
      </c>
      <c r="E135">
        <v>49.5625</v>
      </c>
      <c r="F135">
        <v>20.636399999999998</v>
      </c>
      <c r="G135" t="s">
        <v>22</v>
      </c>
      <c r="H135" t="s">
        <v>23</v>
      </c>
      <c r="I135" t="s">
        <v>302</v>
      </c>
      <c r="J135" t="s">
        <v>117</v>
      </c>
      <c r="K135">
        <v>10</v>
      </c>
      <c r="L135">
        <v>187</v>
      </c>
      <c r="M135">
        <v>1870</v>
      </c>
      <c r="N135" s="1" t="s">
        <v>26</v>
      </c>
      <c r="O135">
        <v>2018</v>
      </c>
      <c r="P135" t="s">
        <v>35</v>
      </c>
      <c r="Q135" t="s">
        <v>28</v>
      </c>
      <c r="R135" t="s">
        <v>29</v>
      </c>
    </row>
    <row r="136" spans="1:18" x14ac:dyDescent="0.25">
      <c r="A136" t="s">
        <v>18</v>
      </c>
      <c r="B136" t="s">
        <v>220</v>
      </c>
      <c r="C136" t="s">
        <v>587</v>
      </c>
      <c r="D136" s="1" t="s">
        <v>21</v>
      </c>
      <c r="E136">
        <v>50.323900000000002</v>
      </c>
      <c r="F136">
        <v>19.194700000000001</v>
      </c>
      <c r="G136" t="s">
        <v>22</v>
      </c>
      <c r="H136" t="s">
        <v>74</v>
      </c>
      <c r="I136" t="s">
        <v>90</v>
      </c>
      <c r="J136" t="s">
        <v>88</v>
      </c>
      <c r="K136">
        <v>6</v>
      </c>
      <c r="L136">
        <v>487</v>
      </c>
      <c r="M136">
        <v>2922</v>
      </c>
      <c r="N136" s="1" t="s">
        <v>26</v>
      </c>
      <c r="O136">
        <v>2018</v>
      </c>
      <c r="P136" t="s">
        <v>50</v>
      </c>
      <c r="Q136" t="s">
        <v>28</v>
      </c>
      <c r="R136" t="s">
        <v>29</v>
      </c>
    </row>
    <row r="137" spans="1:18" x14ac:dyDescent="0.25">
      <c r="A137" t="s">
        <v>18</v>
      </c>
      <c r="B137" t="s">
        <v>248</v>
      </c>
      <c r="C137" t="s">
        <v>593</v>
      </c>
      <c r="D137" s="1" t="s">
        <v>21</v>
      </c>
      <c r="E137">
        <v>53.816699999999997</v>
      </c>
      <c r="F137">
        <v>22.35</v>
      </c>
      <c r="G137" t="s">
        <v>31</v>
      </c>
      <c r="H137" t="s">
        <v>32</v>
      </c>
      <c r="I137" t="s">
        <v>213</v>
      </c>
      <c r="J137" t="s">
        <v>88</v>
      </c>
      <c r="K137">
        <v>4</v>
      </c>
      <c r="L137">
        <v>628</v>
      </c>
      <c r="M137">
        <v>2512</v>
      </c>
      <c r="N137" s="1" t="s">
        <v>26</v>
      </c>
      <c r="O137">
        <v>2018</v>
      </c>
      <c r="P137" t="s">
        <v>66</v>
      </c>
      <c r="Q137" t="s">
        <v>67</v>
      </c>
      <c r="R137" t="s">
        <v>68</v>
      </c>
    </row>
    <row r="138" spans="1:18" x14ac:dyDescent="0.25">
      <c r="A138" t="s">
        <v>18</v>
      </c>
      <c r="B138" t="s">
        <v>268</v>
      </c>
      <c r="C138" t="s">
        <v>598</v>
      </c>
      <c r="D138" s="1" t="s">
        <v>21</v>
      </c>
      <c r="E138">
        <v>51.107700000000001</v>
      </c>
      <c r="F138">
        <v>17.035299999999999</v>
      </c>
      <c r="G138" t="s">
        <v>22</v>
      </c>
      <c r="H138" t="s">
        <v>23</v>
      </c>
      <c r="I138" t="s">
        <v>303</v>
      </c>
      <c r="J138" t="s">
        <v>80</v>
      </c>
      <c r="K138">
        <v>15</v>
      </c>
      <c r="L138">
        <v>647</v>
      </c>
      <c r="M138">
        <v>9705</v>
      </c>
      <c r="N138" s="1" t="s">
        <v>156</v>
      </c>
      <c r="O138">
        <v>2018</v>
      </c>
      <c r="P138" t="s">
        <v>55</v>
      </c>
      <c r="Q138" t="s">
        <v>56</v>
      </c>
      <c r="R138" t="s">
        <v>57</v>
      </c>
    </row>
    <row r="139" spans="1:18" x14ac:dyDescent="0.25">
      <c r="A139" t="s">
        <v>18</v>
      </c>
      <c r="B139" t="s">
        <v>304</v>
      </c>
      <c r="C139" t="s">
        <v>606</v>
      </c>
      <c r="D139" s="1" t="s">
        <v>21</v>
      </c>
      <c r="E139">
        <v>51.8</v>
      </c>
      <c r="F139">
        <v>15.716699999999999</v>
      </c>
      <c r="G139" t="s">
        <v>31</v>
      </c>
      <c r="H139" t="s">
        <v>38</v>
      </c>
      <c r="I139" t="s">
        <v>305</v>
      </c>
      <c r="J139" t="s">
        <v>80</v>
      </c>
      <c r="K139">
        <v>3</v>
      </c>
      <c r="L139">
        <v>681</v>
      </c>
      <c r="M139">
        <v>2043</v>
      </c>
      <c r="N139" s="1" t="s">
        <v>26</v>
      </c>
      <c r="O139">
        <v>2018</v>
      </c>
      <c r="P139" t="s">
        <v>55</v>
      </c>
      <c r="Q139" t="s">
        <v>56</v>
      </c>
      <c r="R139" t="s">
        <v>57</v>
      </c>
    </row>
    <row r="140" spans="1:18" x14ac:dyDescent="0.25">
      <c r="A140" t="s">
        <v>18</v>
      </c>
      <c r="B140" t="s">
        <v>306</v>
      </c>
      <c r="C140" t="s">
        <v>607</v>
      </c>
      <c r="D140" s="1" t="s">
        <v>21</v>
      </c>
      <c r="E140">
        <v>53.083300000000001</v>
      </c>
      <c r="F140">
        <v>21.566700000000001</v>
      </c>
      <c r="G140" t="s">
        <v>22</v>
      </c>
      <c r="H140" t="s">
        <v>23</v>
      </c>
      <c r="I140" t="s">
        <v>79</v>
      </c>
      <c r="J140" t="s">
        <v>80</v>
      </c>
      <c r="K140">
        <v>20</v>
      </c>
      <c r="L140">
        <v>249</v>
      </c>
      <c r="M140">
        <v>4980</v>
      </c>
      <c r="N140" s="1" t="s">
        <v>26</v>
      </c>
      <c r="O140">
        <v>2018</v>
      </c>
      <c r="P140" t="s">
        <v>81</v>
      </c>
      <c r="Q140" t="s">
        <v>41</v>
      </c>
      <c r="R140" t="s">
        <v>42</v>
      </c>
    </row>
    <row r="141" spans="1:18" x14ac:dyDescent="0.25">
      <c r="A141" t="s">
        <v>18</v>
      </c>
      <c r="B141" t="s">
        <v>236</v>
      </c>
      <c r="C141" t="s">
        <v>237</v>
      </c>
      <c r="D141" s="1" t="s">
        <v>21</v>
      </c>
      <c r="E141">
        <v>50.297600000000003</v>
      </c>
      <c r="F141">
        <v>18.676600000000001</v>
      </c>
      <c r="G141" t="s">
        <v>31</v>
      </c>
      <c r="H141" t="s">
        <v>32</v>
      </c>
      <c r="I141" t="s">
        <v>307</v>
      </c>
      <c r="J141" t="s">
        <v>80</v>
      </c>
      <c r="K141">
        <v>10</v>
      </c>
      <c r="L141">
        <v>535</v>
      </c>
      <c r="M141">
        <v>5350</v>
      </c>
      <c r="N141" s="1" t="s">
        <v>26</v>
      </c>
      <c r="O141">
        <v>2018</v>
      </c>
      <c r="P141" t="s">
        <v>77</v>
      </c>
      <c r="Q141" t="s">
        <v>56</v>
      </c>
      <c r="R141" t="s">
        <v>57</v>
      </c>
    </row>
    <row r="142" spans="1:18" x14ac:dyDescent="0.25">
      <c r="A142" t="s">
        <v>18</v>
      </c>
      <c r="B142" t="s">
        <v>270</v>
      </c>
      <c r="C142" t="s">
        <v>271</v>
      </c>
      <c r="D142" s="1" t="s">
        <v>21</v>
      </c>
      <c r="E142">
        <v>51</v>
      </c>
      <c r="F142">
        <v>16.333300000000001</v>
      </c>
      <c r="G142" t="s">
        <v>31</v>
      </c>
      <c r="H142" t="s">
        <v>38</v>
      </c>
      <c r="I142" t="s">
        <v>303</v>
      </c>
      <c r="J142" t="s">
        <v>80</v>
      </c>
      <c r="K142">
        <v>30</v>
      </c>
      <c r="L142">
        <v>647</v>
      </c>
      <c r="M142">
        <v>19410</v>
      </c>
      <c r="N142" s="1" t="s">
        <v>26</v>
      </c>
      <c r="O142">
        <v>2018</v>
      </c>
      <c r="P142" t="s">
        <v>103</v>
      </c>
      <c r="Q142" t="s">
        <v>56</v>
      </c>
      <c r="R142" t="s">
        <v>57</v>
      </c>
    </row>
    <row r="143" spans="1:18" x14ac:dyDescent="0.25">
      <c r="A143" t="s">
        <v>18</v>
      </c>
      <c r="B143" t="s">
        <v>308</v>
      </c>
      <c r="C143" t="s">
        <v>608</v>
      </c>
      <c r="D143" s="1" t="s">
        <v>21</v>
      </c>
      <c r="E143">
        <v>49.666699999999999</v>
      </c>
      <c r="F143">
        <v>18.866700000000002</v>
      </c>
      <c r="G143" t="s">
        <v>31</v>
      </c>
      <c r="H143" t="s">
        <v>38</v>
      </c>
      <c r="I143" t="s">
        <v>309</v>
      </c>
      <c r="J143" t="s">
        <v>88</v>
      </c>
      <c r="K143">
        <v>4</v>
      </c>
      <c r="L143">
        <v>141</v>
      </c>
      <c r="M143">
        <v>564</v>
      </c>
      <c r="N143" s="1" t="s">
        <v>26</v>
      </c>
      <c r="O143">
        <v>2018</v>
      </c>
      <c r="P143" t="s">
        <v>55</v>
      </c>
      <c r="Q143" t="s">
        <v>56</v>
      </c>
      <c r="R143" t="s">
        <v>57</v>
      </c>
    </row>
    <row r="144" spans="1:18" x14ac:dyDescent="0.25">
      <c r="A144" t="s">
        <v>18</v>
      </c>
      <c r="B144" t="s">
        <v>168</v>
      </c>
      <c r="C144" t="s">
        <v>574</v>
      </c>
      <c r="D144" s="1" t="s">
        <v>21</v>
      </c>
      <c r="E144">
        <v>53.65</v>
      </c>
      <c r="F144">
        <v>17.366700000000002</v>
      </c>
      <c r="G144" t="s">
        <v>31</v>
      </c>
      <c r="H144" t="s">
        <v>32</v>
      </c>
      <c r="I144" t="s">
        <v>119</v>
      </c>
      <c r="J144" t="s">
        <v>80</v>
      </c>
      <c r="K144">
        <v>10</v>
      </c>
      <c r="L144">
        <v>502</v>
      </c>
      <c r="M144">
        <v>5020</v>
      </c>
      <c r="N144" s="1" t="s">
        <v>26</v>
      </c>
      <c r="O144">
        <v>2018</v>
      </c>
      <c r="P144" t="s">
        <v>71</v>
      </c>
      <c r="Q144" t="s">
        <v>41</v>
      </c>
      <c r="R144" t="s">
        <v>42</v>
      </c>
    </row>
    <row r="145" spans="1:18" x14ac:dyDescent="0.25">
      <c r="A145" t="s">
        <v>18</v>
      </c>
      <c r="B145" t="s">
        <v>122</v>
      </c>
      <c r="C145" t="s">
        <v>560</v>
      </c>
      <c r="D145" s="1" t="s">
        <v>21</v>
      </c>
      <c r="E145">
        <v>51.2333</v>
      </c>
      <c r="F145">
        <v>22.7</v>
      </c>
      <c r="G145" t="s">
        <v>31</v>
      </c>
      <c r="H145" t="s">
        <v>38</v>
      </c>
      <c r="I145" t="s">
        <v>275</v>
      </c>
      <c r="J145" t="s">
        <v>25</v>
      </c>
      <c r="K145">
        <v>4</v>
      </c>
      <c r="L145">
        <v>767</v>
      </c>
      <c r="M145">
        <v>3068</v>
      </c>
      <c r="N145" s="1" t="s">
        <v>26</v>
      </c>
      <c r="O145">
        <v>2018</v>
      </c>
      <c r="P145" t="s">
        <v>95</v>
      </c>
      <c r="Q145" t="s">
        <v>67</v>
      </c>
      <c r="R145" t="s">
        <v>68</v>
      </c>
    </row>
    <row r="146" spans="1:18" x14ac:dyDescent="0.25">
      <c r="A146" t="s">
        <v>18</v>
      </c>
      <c r="B146" t="s">
        <v>36</v>
      </c>
      <c r="C146" t="s">
        <v>37</v>
      </c>
      <c r="D146" s="1" t="s">
        <v>21</v>
      </c>
      <c r="E146">
        <v>50.083300000000001</v>
      </c>
      <c r="F146">
        <v>18.5</v>
      </c>
      <c r="G146" t="s">
        <v>31</v>
      </c>
      <c r="H146" t="s">
        <v>38</v>
      </c>
      <c r="I146" t="s">
        <v>310</v>
      </c>
      <c r="J146" t="s">
        <v>25</v>
      </c>
      <c r="K146">
        <v>5</v>
      </c>
      <c r="L146">
        <v>513</v>
      </c>
      <c r="M146">
        <v>2565</v>
      </c>
      <c r="N146" s="1" t="s">
        <v>26</v>
      </c>
      <c r="O146">
        <v>2018</v>
      </c>
      <c r="P146" t="s">
        <v>103</v>
      </c>
      <c r="Q146" t="s">
        <v>56</v>
      </c>
      <c r="R146" t="s">
        <v>57</v>
      </c>
    </row>
    <row r="147" spans="1:18" x14ac:dyDescent="0.25">
      <c r="A147" t="s">
        <v>18</v>
      </c>
      <c r="B147" t="s">
        <v>311</v>
      </c>
      <c r="C147" t="s">
        <v>312</v>
      </c>
      <c r="D147" s="1" t="s">
        <v>21</v>
      </c>
      <c r="E147">
        <v>49.9833</v>
      </c>
      <c r="F147">
        <v>20.433299999999999</v>
      </c>
      <c r="G147" t="s">
        <v>31</v>
      </c>
      <c r="H147" t="s">
        <v>38</v>
      </c>
      <c r="I147" t="s">
        <v>277</v>
      </c>
      <c r="J147" t="s">
        <v>34</v>
      </c>
      <c r="K147">
        <v>3</v>
      </c>
      <c r="L147">
        <v>452</v>
      </c>
      <c r="M147">
        <v>1356</v>
      </c>
      <c r="N147" s="1" t="s">
        <v>26</v>
      </c>
      <c r="O147">
        <v>2018</v>
      </c>
      <c r="P147" t="s">
        <v>50</v>
      </c>
      <c r="Q147" t="s">
        <v>28</v>
      </c>
      <c r="R147" t="s">
        <v>29</v>
      </c>
    </row>
    <row r="148" spans="1:18" x14ac:dyDescent="0.25">
      <c r="A148" t="s">
        <v>18</v>
      </c>
      <c r="B148" t="s">
        <v>115</v>
      </c>
      <c r="C148" t="s">
        <v>557</v>
      </c>
      <c r="D148" s="1" t="s">
        <v>21</v>
      </c>
      <c r="E148">
        <v>51.776899999999998</v>
      </c>
      <c r="F148">
        <v>19.454699999999999</v>
      </c>
      <c r="G148" t="s">
        <v>31</v>
      </c>
      <c r="H148" t="s">
        <v>32</v>
      </c>
      <c r="I148" t="s">
        <v>313</v>
      </c>
      <c r="J148" t="s">
        <v>25</v>
      </c>
      <c r="K148">
        <v>4</v>
      </c>
      <c r="L148">
        <v>361</v>
      </c>
      <c r="M148">
        <v>1444</v>
      </c>
      <c r="N148" s="1" t="s">
        <v>26</v>
      </c>
      <c r="O148">
        <v>2018</v>
      </c>
      <c r="P148" t="s">
        <v>81</v>
      </c>
      <c r="Q148" t="s">
        <v>41</v>
      </c>
      <c r="R148" t="s">
        <v>42</v>
      </c>
    </row>
    <row r="149" spans="1:18" x14ac:dyDescent="0.25">
      <c r="A149" t="s">
        <v>18</v>
      </c>
      <c r="B149" t="s">
        <v>220</v>
      </c>
      <c r="C149" t="s">
        <v>587</v>
      </c>
      <c r="D149" s="1" t="s">
        <v>21</v>
      </c>
      <c r="E149">
        <v>50.323900000000002</v>
      </c>
      <c r="F149">
        <v>19.194700000000001</v>
      </c>
      <c r="G149" t="s">
        <v>22</v>
      </c>
      <c r="H149" t="s">
        <v>74</v>
      </c>
      <c r="I149" t="s">
        <v>226</v>
      </c>
      <c r="J149" t="s">
        <v>88</v>
      </c>
      <c r="K149">
        <v>24</v>
      </c>
      <c r="L149">
        <v>610</v>
      </c>
      <c r="M149">
        <v>14640</v>
      </c>
      <c r="N149" s="1" t="s">
        <v>314</v>
      </c>
      <c r="O149">
        <v>2018</v>
      </c>
      <c r="P149" t="s">
        <v>55</v>
      </c>
      <c r="Q149" t="s">
        <v>56</v>
      </c>
      <c r="R149" t="s">
        <v>57</v>
      </c>
    </row>
    <row r="150" spans="1:18" x14ac:dyDescent="0.25">
      <c r="A150" t="s">
        <v>18</v>
      </c>
      <c r="B150" t="s">
        <v>311</v>
      </c>
      <c r="C150" t="s">
        <v>312</v>
      </c>
      <c r="D150" s="1" t="s">
        <v>21</v>
      </c>
      <c r="E150">
        <v>49.9833</v>
      </c>
      <c r="F150">
        <v>20.433299999999999</v>
      </c>
      <c r="G150" t="s">
        <v>31</v>
      </c>
      <c r="H150" t="s">
        <v>38</v>
      </c>
      <c r="I150" t="s">
        <v>315</v>
      </c>
      <c r="J150" t="s">
        <v>25</v>
      </c>
      <c r="K150">
        <v>4</v>
      </c>
      <c r="L150">
        <v>334</v>
      </c>
      <c r="M150">
        <v>1336</v>
      </c>
      <c r="N150" s="1" t="s">
        <v>26</v>
      </c>
      <c r="O150">
        <v>2018</v>
      </c>
      <c r="P150" t="s">
        <v>40</v>
      </c>
      <c r="Q150" t="s">
        <v>41</v>
      </c>
      <c r="R150" t="s">
        <v>42</v>
      </c>
    </row>
    <row r="151" spans="1:18" x14ac:dyDescent="0.25">
      <c r="A151" t="s">
        <v>18</v>
      </c>
      <c r="B151" t="s">
        <v>19</v>
      </c>
      <c r="C151" t="s">
        <v>20</v>
      </c>
      <c r="D151" s="1" t="s">
        <v>21</v>
      </c>
      <c r="E151">
        <v>51.2333</v>
      </c>
      <c r="F151">
        <v>22.566700000000001</v>
      </c>
      <c r="G151" t="s">
        <v>22</v>
      </c>
      <c r="H151" t="s">
        <v>23</v>
      </c>
      <c r="I151" t="s">
        <v>282</v>
      </c>
      <c r="J151" t="s">
        <v>25</v>
      </c>
      <c r="K151">
        <v>3</v>
      </c>
      <c r="L151">
        <v>311</v>
      </c>
      <c r="M151">
        <v>933</v>
      </c>
      <c r="N151" s="1" t="s">
        <v>26</v>
      </c>
      <c r="O151">
        <v>2018</v>
      </c>
      <c r="P151" t="s">
        <v>95</v>
      </c>
      <c r="Q151" t="s">
        <v>67</v>
      </c>
      <c r="R151" t="s">
        <v>68</v>
      </c>
    </row>
    <row r="152" spans="1:18" x14ac:dyDescent="0.25">
      <c r="A152" t="s">
        <v>18</v>
      </c>
      <c r="B152" t="s">
        <v>138</v>
      </c>
      <c r="C152" t="s">
        <v>563</v>
      </c>
      <c r="D152" s="1" t="s">
        <v>21</v>
      </c>
      <c r="E152">
        <v>53.2667</v>
      </c>
      <c r="F152">
        <v>16.466699999999999</v>
      </c>
      <c r="G152" t="s">
        <v>22</v>
      </c>
      <c r="H152" t="s">
        <v>74</v>
      </c>
      <c r="I152" t="s">
        <v>316</v>
      </c>
      <c r="J152" t="s">
        <v>45</v>
      </c>
      <c r="K152">
        <v>6</v>
      </c>
      <c r="L152">
        <v>631</v>
      </c>
      <c r="M152">
        <v>3786</v>
      </c>
      <c r="N152" s="1" t="s">
        <v>26</v>
      </c>
      <c r="O152">
        <v>2018</v>
      </c>
      <c r="P152" t="s">
        <v>77</v>
      </c>
      <c r="Q152" t="s">
        <v>56</v>
      </c>
      <c r="R152" t="s">
        <v>57</v>
      </c>
    </row>
    <row r="153" spans="1:18" x14ac:dyDescent="0.25">
      <c r="A153" t="s">
        <v>18</v>
      </c>
      <c r="B153" t="s">
        <v>189</v>
      </c>
      <c r="C153" t="s">
        <v>190</v>
      </c>
      <c r="D153" s="1" t="s">
        <v>21</v>
      </c>
      <c r="E153">
        <v>54.441899999999997</v>
      </c>
      <c r="F153">
        <v>18.547799999999999</v>
      </c>
      <c r="G153" t="s">
        <v>22</v>
      </c>
      <c r="H153" t="s">
        <v>23</v>
      </c>
      <c r="I153" t="s">
        <v>280</v>
      </c>
      <c r="J153" t="s">
        <v>45</v>
      </c>
      <c r="K153">
        <v>6</v>
      </c>
      <c r="L153">
        <v>613</v>
      </c>
      <c r="M153">
        <v>3678</v>
      </c>
      <c r="N153" s="1" t="s">
        <v>26</v>
      </c>
      <c r="O153">
        <v>2018</v>
      </c>
      <c r="P153" t="s">
        <v>106</v>
      </c>
      <c r="Q153" t="s">
        <v>67</v>
      </c>
      <c r="R153" t="s">
        <v>68</v>
      </c>
    </row>
    <row r="154" spans="1:18" x14ac:dyDescent="0.25">
      <c r="A154" t="s">
        <v>18</v>
      </c>
      <c r="B154" t="s">
        <v>317</v>
      </c>
      <c r="C154" t="s">
        <v>609</v>
      </c>
      <c r="D154" s="1" t="s">
        <v>21</v>
      </c>
      <c r="E154">
        <v>50.033299999999997</v>
      </c>
      <c r="F154">
        <v>19.2333</v>
      </c>
      <c r="G154" t="s">
        <v>22</v>
      </c>
      <c r="H154" t="s">
        <v>74</v>
      </c>
      <c r="I154" t="s">
        <v>247</v>
      </c>
      <c r="J154" t="s">
        <v>25</v>
      </c>
      <c r="K154">
        <v>10</v>
      </c>
      <c r="L154">
        <v>708</v>
      </c>
      <c r="M154">
        <v>7080</v>
      </c>
      <c r="N154" s="1" t="s">
        <v>26</v>
      </c>
      <c r="O154">
        <v>2018</v>
      </c>
      <c r="P154" t="s">
        <v>71</v>
      </c>
      <c r="Q154" t="s">
        <v>41</v>
      </c>
      <c r="R154" t="s">
        <v>42</v>
      </c>
    </row>
    <row r="155" spans="1:18" x14ac:dyDescent="0.25">
      <c r="A155" t="s">
        <v>18</v>
      </c>
      <c r="B155" t="s">
        <v>194</v>
      </c>
      <c r="C155" t="s">
        <v>195</v>
      </c>
      <c r="D155" s="1" t="s">
        <v>21</v>
      </c>
      <c r="E155">
        <v>50.473799999999997</v>
      </c>
      <c r="F155">
        <v>17.334399999999999</v>
      </c>
      <c r="G155" t="s">
        <v>31</v>
      </c>
      <c r="H155" t="s">
        <v>32</v>
      </c>
      <c r="I155" t="s">
        <v>191</v>
      </c>
      <c r="J155" t="s">
        <v>117</v>
      </c>
      <c r="K155">
        <v>6</v>
      </c>
      <c r="L155">
        <v>206</v>
      </c>
      <c r="M155">
        <v>1236</v>
      </c>
      <c r="N155" s="1" t="s">
        <v>85</v>
      </c>
      <c r="O155">
        <v>2018</v>
      </c>
      <c r="P155" t="s">
        <v>103</v>
      </c>
      <c r="Q155" t="s">
        <v>56</v>
      </c>
      <c r="R155" t="s">
        <v>57</v>
      </c>
    </row>
    <row r="156" spans="1:18" x14ac:dyDescent="0.25">
      <c r="A156" t="s">
        <v>18</v>
      </c>
      <c r="B156" t="s">
        <v>308</v>
      </c>
      <c r="C156" t="s">
        <v>608</v>
      </c>
      <c r="D156" s="1" t="s">
        <v>21</v>
      </c>
      <c r="E156">
        <v>49.666699999999999</v>
      </c>
      <c r="F156">
        <v>18.866700000000002</v>
      </c>
      <c r="G156" t="s">
        <v>31</v>
      </c>
      <c r="H156" t="s">
        <v>38</v>
      </c>
      <c r="I156" t="s">
        <v>318</v>
      </c>
      <c r="J156" t="s">
        <v>88</v>
      </c>
      <c r="K156">
        <v>3</v>
      </c>
      <c r="L156">
        <v>80</v>
      </c>
      <c r="M156">
        <v>240</v>
      </c>
      <c r="N156" s="1" t="s">
        <v>26</v>
      </c>
      <c r="O156">
        <v>2018</v>
      </c>
      <c r="P156" t="s">
        <v>66</v>
      </c>
      <c r="Q156" t="s">
        <v>67</v>
      </c>
      <c r="R156" t="s">
        <v>68</v>
      </c>
    </row>
    <row r="157" spans="1:18" x14ac:dyDescent="0.25">
      <c r="A157" t="s">
        <v>18</v>
      </c>
      <c r="B157" t="s">
        <v>319</v>
      </c>
      <c r="C157" t="s">
        <v>320</v>
      </c>
      <c r="D157" s="1" t="s">
        <v>21</v>
      </c>
      <c r="E157">
        <v>50.3</v>
      </c>
      <c r="F157">
        <v>19.166699999999999</v>
      </c>
      <c r="G157" t="s">
        <v>31</v>
      </c>
      <c r="H157" t="s">
        <v>32</v>
      </c>
      <c r="I157" t="s">
        <v>62</v>
      </c>
      <c r="J157" t="s">
        <v>25</v>
      </c>
      <c r="K157">
        <v>4</v>
      </c>
      <c r="L157">
        <v>742</v>
      </c>
      <c r="M157">
        <v>2968</v>
      </c>
      <c r="N157" s="1" t="s">
        <v>85</v>
      </c>
      <c r="O157">
        <v>2018</v>
      </c>
      <c r="P157" t="s">
        <v>106</v>
      </c>
      <c r="Q157" t="s">
        <v>67</v>
      </c>
      <c r="R157" t="s">
        <v>68</v>
      </c>
    </row>
    <row r="158" spans="1:18" x14ac:dyDescent="0.25">
      <c r="A158" t="s">
        <v>18</v>
      </c>
      <c r="B158" t="s">
        <v>321</v>
      </c>
      <c r="C158" t="s">
        <v>610</v>
      </c>
      <c r="D158" s="1" t="s">
        <v>21</v>
      </c>
      <c r="E158">
        <v>50.170999999999999</v>
      </c>
      <c r="F158">
        <v>18.9041</v>
      </c>
      <c r="G158" t="s">
        <v>22</v>
      </c>
      <c r="H158" t="s">
        <v>74</v>
      </c>
      <c r="I158" t="s">
        <v>322</v>
      </c>
      <c r="J158" t="s">
        <v>80</v>
      </c>
      <c r="K158">
        <v>10</v>
      </c>
      <c r="L158">
        <v>34</v>
      </c>
      <c r="M158">
        <v>340</v>
      </c>
      <c r="N158" s="1" t="s">
        <v>26</v>
      </c>
      <c r="O158">
        <v>2018</v>
      </c>
      <c r="P158" t="s">
        <v>55</v>
      </c>
      <c r="Q158" t="s">
        <v>56</v>
      </c>
      <c r="R158" t="s">
        <v>57</v>
      </c>
    </row>
    <row r="159" spans="1:18" x14ac:dyDescent="0.25">
      <c r="A159" t="s">
        <v>18</v>
      </c>
      <c r="B159" t="s">
        <v>46</v>
      </c>
      <c r="C159" t="s">
        <v>47</v>
      </c>
      <c r="D159" s="1" t="s">
        <v>21</v>
      </c>
      <c r="E159">
        <v>53.78</v>
      </c>
      <c r="F159">
        <v>20.494199999999999</v>
      </c>
      <c r="G159" t="s">
        <v>31</v>
      </c>
      <c r="H159" t="s">
        <v>32</v>
      </c>
      <c r="I159" t="s">
        <v>170</v>
      </c>
      <c r="J159" t="s">
        <v>25</v>
      </c>
      <c r="K159">
        <v>10</v>
      </c>
      <c r="L159">
        <v>99</v>
      </c>
      <c r="M159">
        <v>990</v>
      </c>
      <c r="N159" s="1" t="s">
        <v>26</v>
      </c>
      <c r="O159">
        <v>2018</v>
      </c>
      <c r="P159" t="s">
        <v>50</v>
      </c>
      <c r="Q159" t="s">
        <v>28</v>
      </c>
      <c r="R159" t="s">
        <v>29</v>
      </c>
    </row>
    <row r="160" spans="1:18" x14ac:dyDescent="0.25">
      <c r="A160" t="s">
        <v>18</v>
      </c>
      <c r="B160" t="s">
        <v>323</v>
      </c>
      <c r="C160" t="s">
        <v>324</v>
      </c>
      <c r="D160" s="1" t="s">
        <v>21</v>
      </c>
      <c r="E160">
        <v>50.059100000000001</v>
      </c>
      <c r="F160">
        <v>22.4941</v>
      </c>
      <c r="G160" t="s">
        <v>31</v>
      </c>
      <c r="H160" t="s">
        <v>38</v>
      </c>
      <c r="I160" t="s">
        <v>325</v>
      </c>
      <c r="J160" t="s">
        <v>34</v>
      </c>
      <c r="K160">
        <v>5</v>
      </c>
      <c r="L160">
        <v>400</v>
      </c>
      <c r="M160">
        <v>2000</v>
      </c>
      <c r="N160" s="1" t="s">
        <v>26</v>
      </c>
      <c r="O160">
        <v>2018</v>
      </c>
      <c r="P160" t="s">
        <v>81</v>
      </c>
      <c r="Q160" t="s">
        <v>41</v>
      </c>
      <c r="R160" t="s">
        <v>42</v>
      </c>
    </row>
    <row r="161" spans="1:18" x14ac:dyDescent="0.25">
      <c r="A161" t="s">
        <v>18</v>
      </c>
      <c r="B161" t="s">
        <v>326</v>
      </c>
      <c r="C161" t="s">
        <v>611</v>
      </c>
      <c r="D161" s="1" t="s">
        <v>21</v>
      </c>
      <c r="E161">
        <v>53.183300000000003</v>
      </c>
      <c r="F161">
        <v>22.083300000000001</v>
      </c>
      <c r="G161" t="s">
        <v>31</v>
      </c>
      <c r="H161" t="s">
        <v>32</v>
      </c>
      <c r="I161" t="s">
        <v>327</v>
      </c>
      <c r="J161" t="s">
        <v>25</v>
      </c>
      <c r="K161">
        <v>6</v>
      </c>
      <c r="L161">
        <v>140</v>
      </c>
      <c r="M161">
        <v>840</v>
      </c>
      <c r="N161" s="1" t="s">
        <v>85</v>
      </c>
      <c r="O161">
        <v>2018</v>
      </c>
      <c r="P161" t="s">
        <v>106</v>
      </c>
      <c r="Q161" t="s">
        <v>67</v>
      </c>
      <c r="R161" t="s">
        <v>68</v>
      </c>
    </row>
    <row r="162" spans="1:18" x14ac:dyDescent="0.25">
      <c r="A162" t="s">
        <v>18</v>
      </c>
      <c r="B162" t="s">
        <v>328</v>
      </c>
      <c r="C162" t="s">
        <v>329</v>
      </c>
      <c r="D162" s="1" t="s">
        <v>21</v>
      </c>
      <c r="E162">
        <v>49.6556</v>
      </c>
      <c r="F162">
        <v>21.160399999999999</v>
      </c>
      <c r="G162" t="s">
        <v>22</v>
      </c>
      <c r="H162" t="s">
        <v>74</v>
      </c>
      <c r="I162" t="s">
        <v>330</v>
      </c>
      <c r="J162" t="s">
        <v>45</v>
      </c>
      <c r="K162">
        <v>5</v>
      </c>
      <c r="L162">
        <v>113</v>
      </c>
      <c r="M162">
        <v>565</v>
      </c>
      <c r="N162" s="1" t="s">
        <v>26</v>
      </c>
      <c r="O162">
        <v>2018</v>
      </c>
      <c r="P162" t="s">
        <v>40</v>
      </c>
      <c r="Q162" t="s">
        <v>41</v>
      </c>
      <c r="R162" t="s">
        <v>42</v>
      </c>
    </row>
    <row r="163" spans="1:18" x14ac:dyDescent="0.25">
      <c r="A163" t="s">
        <v>18</v>
      </c>
      <c r="B163" t="s">
        <v>331</v>
      </c>
      <c r="C163" t="s">
        <v>612</v>
      </c>
      <c r="D163" s="1" t="s">
        <v>21</v>
      </c>
      <c r="E163">
        <v>54.166699999999999</v>
      </c>
      <c r="F163">
        <v>15.566700000000001</v>
      </c>
      <c r="G163" t="s">
        <v>31</v>
      </c>
      <c r="H163" t="s">
        <v>38</v>
      </c>
      <c r="I163" t="s">
        <v>332</v>
      </c>
      <c r="J163" t="s">
        <v>117</v>
      </c>
      <c r="K163">
        <v>11</v>
      </c>
      <c r="L163">
        <v>408</v>
      </c>
      <c r="M163">
        <v>4488</v>
      </c>
      <c r="N163" s="1" t="s">
        <v>26</v>
      </c>
      <c r="O163">
        <v>2018</v>
      </c>
      <c r="P163" t="s">
        <v>71</v>
      </c>
      <c r="Q163" t="s">
        <v>41</v>
      </c>
      <c r="R163" t="s">
        <v>42</v>
      </c>
    </row>
    <row r="164" spans="1:18" x14ac:dyDescent="0.25">
      <c r="A164" t="s">
        <v>18</v>
      </c>
      <c r="B164" t="s">
        <v>270</v>
      </c>
      <c r="C164" t="s">
        <v>271</v>
      </c>
      <c r="D164" s="1" t="s">
        <v>21</v>
      </c>
      <c r="E164">
        <v>51</v>
      </c>
      <c r="F164">
        <v>16.333300000000001</v>
      </c>
      <c r="G164" t="s">
        <v>31</v>
      </c>
      <c r="H164" t="s">
        <v>38</v>
      </c>
      <c r="I164" t="s">
        <v>333</v>
      </c>
      <c r="J164" t="s">
        <v>45</v>
      </c>
      <c r="K164">
        <v>5</v>
      </c>
      <c r="L164">
        <v>319</v>
      </c>
      <c r="M164">
        <v>1595</v>
      </c>
      <c r="N164" s="1" t="s">
        <v>26</v>
      </c>
      <c r="O164">
        <v>2018</v>
      </c>
      <c r="P164" t="s">
        <v>35</v>
      </c>
      <c r="Q164" t="s">
        <v>28</v>
      </c>
      <c r="R164" t="s">
        <v>29</v>
      </c>
    </row>
    <row r="165" spans="1:18" x14ac:dyDescent="0.25">
      <c r="A165" t="s">
        <v>18</v>
      </c>
      <c r="B165" t="s">
        <v>321</v>
      </c>
      <c r="C165" t="s">
        <v>610</v>
      </c>
      <c r="D165" s="1" t="s">
        <v>21</v>
      </c>
      <c r="E165">
        <v>50.170999999999999</v>
      </c>
      <c r="F165">
        <v>18.9041</v>
      </c>
      <c r="G165" t="s">
        <v>22</v>
      </c>
      <c r="H165" t="s">
        <v>74</v>
      </c>
      <c r="I165" t="s">
        <v>310</v>
      </c>
      <c r="J165" t="s">
        <v>25</v>
      </c>
      <c r="K165">
        <v>10</v>
      </c>
      <c r="L165">
        <v>513</v>
      </c>
      <c r="M165">
        <v>5130</v>
      </c>
      <c r="N165" s="1" t="s">
        <v>26</v>
      </c>
      <c r="O165">
        <v>2018</v>
      </c>
      <c r="P165" t="s">
        <v>40</v>
      </c>
      <c r="Q165" t="s">
        <v>41</v>
      </c>
      <c r="R165" t="s">
        <v>42</v>
      </c>
    </row>
    <row r="166" spans="1:18" x14ac:dyDescent="0.25">
      <c r="A166" t="s">
        <v>18</v>
      </c>
      <c r="B166" t="s">
        <v>244</v>
      </c>
      <c r="C166" t="s">
        <v>592</v>
      </c>
      <c r="D166" s="1" t="s">
        <v>21</v>
      </c>
      <c r="E166">
        <v>50.313099999999999</v>
      </c>
      <c r="F166">
        <v>17.374199999999998</v>
      </c>
      <c r="G166" t="s">
        <v>22</v>
      </c>
      <c r="H166" t="s">
        <v>74</v>
      </c>
      <c r="I166" t="s">
        <v>334</v>
      </c>
      <c r="J166" t="s">
        <v>80</v>
      </c>
      <c r="K166">
        <v>6</v>
      </c>
      <c r="L166">
        <v>345</v>
      </c>
      <c r="M166">
        <v>2070</v>
      </c>
      <c r="N166" s="1" t="s">
        <v>26</v>
      </c>
      <c r="O166">
        <v>2018</v>
      </c>
      <c r="P166" t="s">
        <v>71</v>
      </c>
      <c r="Q166" t="s">
        <v>41</v>
      </c>
      <c r="R166" t="s">
        <v>42</v>
      </c>
    </row>
    <row r="167" spans="1:18" x14ac:dyDescent="0.25">
      <c r="A167" t="s">
        <v>18</v>
      </c>
      <c r="B167" t="s">
        <v>136</v>
      </c>
      <c r="C167" t="s">
        <v>562</v>
      </c>
      <c r="D167" s="1" t="s">
        <v>218</v>
      </c>
      <c r="E167">
        <v>49.822499999999998</v>
      </c>
      <c r="F167">
        <v>19.0444</v>
      </c>
      <c r="G167" t="s">
        <v>31</v>
      </c>
      <c r="H167" t="s">
        <v>38</v>
      </c>
      <c r="I167" t="s">
        <v>335</v>
      </c>
      <c r="J167" t="s">
        <v>80</v>
      </c>
      <c r="K167">
        <v>6</v>
      </c>
      <c r="L167">
        <v>375</v>
      </c>
      <c r="M167">
        <v>2250</v>
      </c>
      <c r="N167" s="1" t="s">
        <v>26</v>
      </c>
      <c r="O167">
        <v>2018</v>
      </c>
      <c r="P167" t="s">
        <v>40</v>
      </c>
      <c r="Q167" t="s">
        <v>41</v>
      </c>
      <c r="R167" t="s">
        <v>42</v>
      </c>
    </row>
    <row r="168" spans="1:18" x14ac:dyDescent="0.25">
      <c r="A168" t="s">
        <v>18</v>
      </c>
      <c r="B168" t="s">
        <v>63</v>
      </c>
      <c r="C168" t="s">
        <v>64</v>
      </c>
      <c r="D168" s="1" t="s">
        <v>218</v>
      </c>
      <c r="E168">
        <v>53.3583</v>
      </c>
      <c r="F168">
        <v>20.425000000000001</v>
      </c>
      <c r="G168" t="s">
        <v>22</v>
      </c>
      <c r="H168" t="s">
        <v>23</v>
      </c>
      <c r="I168" t="s">
        <v>330</v>
      </c>
      <c r="J168" t="s">
        <v>45</v>
      </c>
      <c r="K168">
        <v>6</v>
      </c>
      <c r="L168">
        <v>113</v>
      </c>
      <c r="M168">
        <v>678</v>
      </c>
      <c r="N168" s="1" t="s">
        <v>26</v>
      </c>
      <c r="O168">
        <v>2018</v>
      </c>
      <c r="P168" t="s">
        <v>60</v>
      </c>
      <c r="Q168" t="s">
        <v>28</v>
      </c>
      <c r="R168" t="s">
        <v>29</v>
      </c>
    </row>
    <row r="169" spans="1:18" x14ac:dyDescent="0.25">
      <c r="A169" t="s">
        <v>18</v>
      </c>
      <c r="B169" t="s">
        <v>164</v>
      </c>
      <c r="C169" t="s">
        <v>572</v>
      </c>
      <c r="D169" s="1" t="s">
        <v>21</v>
      </c>
      <c r="E169">
        <v>53.4925</v>
      </c>
      <c r="F169">
        <v>18.7761</v>
      </c>
      <c r="G169" t="s">
        <v>31</v>
      </c>
      <c r="H169" t="s">
        <v>32</v>
      </c>
      <c r="I169" t="s">
        <v>313</v>
      </c>
      <c r="J169" t="s">
        <v>25</v>
      </c>
      <c r="K169">
        <v>2</v>
      </c>
      <c r="L169">
        <v>361</v>
      </c>
      <c r="M169">
        <v>722</v>
      </c>
      <c r="N169" s="1" t="s">
        <v>26</v>
      </c>
      <c r="O169">
        <v>2018</v>
      </c>
      <c r="P169" t="s">
        <v>71</v>
      </c>
      <c r="Q169" t="s">
        <v>41</v>
      </c>
      <c r="R169" t="s">
        <v>42</v>
      </c>
    </row>
    <row r="170" spans="1:18" x14ac:dyDescent="0.25">
      <c r="A170" t="s">
        <v>18</v>
      </c>
      <c r="B170" t="s">
        <v>63</v>
      </c>
      <c r="C170" t="s">
        <v>64</v>
      </c>
      <c r="D170" s="1" t="s">
        <v>21</v>
      </c>
      <c r="E170">
        <v>53.3583</v>
      </c>
      <c r="F170">
        <v>20.425000000000001</v>
      </c>
      <c r="G170" t="s">
        <v>22</v>
      </c>
      <c r="H170" t="s">
        <v>23</v>
      </c>
      <c r="I170" t="s">
        <v>336</v>
      </c>
      <c r="J170" t="s">
        <v>80</v>
      </c>
      <c r="K170">
        <v>3</v>
      </c>
      <c r="L170">
        <v>612</v>
      </c>
      <c r="M170">
        <v>0</v>
      </c>
      <c r="N170" s="1" t="s">
        <v>26</v>
      </c>
      <c r="O170">
        <v>2018</v>
      </c>
      <c r="P170" t="s">
        <v>95</v>
      </c>
      <c r="Q170" t="s">
        <v>67</v>
      </c>
      <c r="R170" t="s">
        <v>68</v>
      </c>
    </row>
    <row r="171" spans="1:18" x14ac:dyDescent="0.25">
      <c r="A171" t="s">
        <v>18</v>
      </c>
      <c r="B171" t="s">
        <v>337</v>
      </c>
      <c r="C171" t="s">
        <v>338</v>
      </c>
      <c r="D171" s="1" t="s">
        <v>21</v>
      </c>
      <c r="E171">
        <v>53.735799999999998</v>
      </c>
      <c r="F171">
        <v>18.930800000000001</v>
      </c>
      <c r="G171" t="s">
        <v>31</v>
      </c>
      <c r="H171" t="s">
        <v>38</v>
      </c>
      <c r="I171" t="s">
        <v>339</v>
      </c>
      <c r="J171" t="s">
        <v>88</v>
      </c>
      <c r="K171">
        <v>3</v>
      </c>
      <c r="L171">
        <v>590</v>
      </c>
      <c r="M171">
        <v>0</v>
      </c>
      <c r="N171" s="1" t="s">
        <v>85</v>
      </c>
      <c r="O171">
        <v>2018</v>
      </c>
      <c r="P171" t="s">
        <v>55</v>
      </c>
      <c r="Q171" t="s">
        <v>56</v>
      </c>
      <c r="R171" t="s">
        <v>57</v>
      </c>
    </row>
    <row r="172" spans="1:18" x14ac:dyDescent="0.25">
      <c r="A172" t="s">
        <v>18</v>
      </c>
      <c r="B172" t="s">
        <v>340</v>
      </c>
      <c r="C172" t="s">
        <v>341</v>
      </c>
      <c r="D172" s="1" t="s">
        <v>218</v>
      </c>
      <c r="E172">
        <v>53.116700000000002</v>
      </c>
      <c r="F172">
        <v>18</v>
      </c>
      <c r="G172" t="s">
        <v>22</v>
      </c>
      <c r="H172" t="s">
        <v>23</v>
      </c>
      <c r="I172" t="s">
        <v>288</v>
      </c>
      <c r="J172" t="s">
        <v>34</v>
      </c>
      <c r="K172">
        <v>1</v>
      </c>
      <c r="L172">
        <v>401</v>
      </c>
      <c r="M172">
        <v>0</v>
      </c>
      <c r="N172" s="1" t="s">
        <v>26</v>
      </c>
      <c r="O172">
        <v>2018</v>
      </c>
      <c r="P172" t="s">
        <v>66</v>
      </c>
      <c r="Q172" t="s">
        <v>67</v>
      </c>
      <c r="R172" t="s">
        <v>68</v>
      </c>
    </row>
    <row r="173" spans="1:18" x14ac:dyDescent="0.25">
      <c r="A173" t="s">
        <v>18</v>
      </c>
      <c r="B173" t="s">
        <v>126</v>
      </c>
      <c r="C173" t="s">
        <v>127</v>
      </c>
      <c r="D173" s="1" t="s">
        <v>21</v>
      </c>
      <c r="E173">
        <v>50.475099999999998</v>
      </c>
      <c r="F173">
        <v>17.965399999999999</v>
      </c>
      <c r="G173" t="s">
        <v>31</v>
      </c>
      <c r="H173" t="s">
        <v>38</v>
      </c>
      <c r="I173" t="s">
        <v>342</v>
      </c>
      <c r="J173" t="s">
        <v>45</v>
      </c>
      <c r="K173">
        <v>5</v>
      </c>
      <c r="L173">
        <v>445</v>
      </c>
      <c r="M173">
        <v>0</v>
      </c>
      <c r="N173" s="1" t="s">
        <v>26</v>
      </c>
      <c r="O173">
        <v>2018</v>
      </c>
      <c r="P173" t="s">
        <v>81</v>
      </c>
      <c r="Q173" t="s">
        <v>41</v>
      </c>
      <c r="R173" t="s">
        <v>42</v>
      </c>
    </row>
    <row r="174" spans="1:18" x14ac:dyDescent="0.25">
      <c r="A174" t="s">
        <v>18</v>
      </c>
      <c r="B174" t="s">
        <v>343</v>
      </c>
      <c r="C174" t="s">
        <v>344</v>
      </c>
      <c r="D174" s="1" t="s">
        <v>21</v>
      </c>
      <c r="E174">
        <v>51.787700000000001</v>
      </c>
      <c r="F174">
        <v>14.9724</v>
      </c>
      <c r="G174" t="s">
        <v>22</v>
      </c>
      <c r="H174" t="s">
        <v>23</v>
      </c>
      <c r="I174" t="s">
        <v>288</v>
      </c>
      <c r="J174" t="s">
        <v>34</v>
      </c>
      <c r="K174">
        <v>20</v>
      </c>
      <c r="L174">
        <v>401</v>
      </c>
      <c r="M174">
        <v>0</v>
      </c>
      <c r="N174" s="1" t="s">
        <v>26</v>
      </c>
      <c r="O174">
        <v>2018</v>
      </c>
      <c r="P174" t="s">
        <v>66</v>
      </c>
      <c r="Q174" t="s">
        <v>67</v>
      </c>
      <c r="R174" t="s">
        <v>68</v>
      </c>
    </row>
    <row r="175" spans="1:18" x14ac:dyDescent="0.25">
      <c r="A175" t="s">
        <v>18</v>
      </c>
      <c r="B175" t="s">
        <v>319</v>
      </c>
      <c r="C175" t="s">
        <v>320</v>
      </c>
      <c r="D175" s="1" t="s">
        <v>218</v>
      </c>
      <c r="E175">
        <v>50.3</v>
      </c>
      <c r="F175">
        <v>19.166699999999999</v>
      </c>
      <c r="G175" t="s">
        <v>31</v>
      </c>
      <c r="H175" t="s">
        <v>32</v>
      </c>
      <c r="I175" t="s">
        <v>262</v>
      </c>
      <c r="J175" t="s">
        <v>80</v>
      </c>
      <c r="K175">
        <v>10</v>
      </c>
      <c r="L175">
        <v>655</v>
      </c>
      <c r="M175">
        <v>0</v>
      </c>
      <c r="N175" s="1" t="s">
        <v>26</v>
      </c>
      <c r="O175">
        <v>2018</v>
      </c>
      <c r="P175" t="s">
        <v>81</v>
      </c>
      <c r="Q175" t="s">
        <v>41</v>
      </c>
      <c r="R175" t="s">
        <v>42</v>
      </c>
    </row>
    <row r="176" spans="1:18" x14ac:dyDescent="0.25">
      <c r="A176" t="s">
        <v>18</v>
      </c>
      <c r="B176" t="s">
        <v>345</v>
      </c>
      <c r="C176" t="s">
        <v>613</v>
      </c>
      <c r="D176" s="1" t="s">
        <v>21</v>
      </c>
      <c r="E176">
        <v>50.933300000000003</v>
      </c>
      <c r="F176">
        <v>21.4</v>
      </c>
      <c r="G176" t="s">
        <v>31</v>
      </c>
      <c r="H176" t="s">
        <v>38</v>
      </c>
      <c r="I176" t="s">
        <v>346</v>
      </c>
      <c r="J176" t="s">
        <v>45</v>
      </c>
      <c r="K176">
        <v>6</v>
      </c>
      <c r="L176">
        <v>301</v>
      </c>
      <c r="M176">
        <v>0</v>
      </c>
      <c r="N176" s="1" t="s">
        <v>26</v>
      </c>
      <c r="O176">
        <v>2018</v>
      </c>
      <c r="P176" t="s">
        <v>50</v>
      </c>
      <c r="Q176" t="s">
        <v>28</v>
      </c>
      <c r="R176" t="s">
        <v>29</v>
      </c>
    </row>
    <row r="177" spans="1:18" x14ac:dyDescent="0.25">
      <c r="A177" t="s">
        <v>18</v>
      </c>
      <c r="B177" t="s">
        <v>30</v>
      </c>
      <c r="C177" t="s">
        <v>541</v>
      </c>
      <c r="D177" s="1" t="s">
        <v>21</v>
      </c>
      <c r="E177">
        <v>53.416699999999999</v>
      </c>
      <c r="F177">
        <v>18.433299999999999</v>
      </c>
      <c r="G177" t="s">
        <v>31</v>
      </c>
      <c r="H177" t="s">
        <v>32</v>
      </c>
      <c r="I177" t="s">
        <v>347</v>
      </c>
      <c r="J177" t="s">
        <v>117</v>
      </c>
      <c r="K177">
        <v>4</v>
      </c>
      <c r="L177">
        <v>73</v>
      </c>
      <c r="M177">
        <v>292</v>
      </c>
      <c r="N177" s="1" t="s">
        <v>26</v>
      </c>
      <c r="O177">
        <v>2018</v>
      </c>
      <c r="P177" t="s">
        <v>95</v>
      </c>
      <c r="Q177" t="s">
        <v>67</v>
      </c>
      <c r="R177" t="s">
        <v>68</v>
      </c>
    </row>
    <row r="178" spans="1:18" x14ac:dyDescent="0.25">
      <c r="A178" t="s">
        <v>18</v>
      </c>
      <c r="B178" t="s">
        <v>348</v>
      </c>
      <c r="C178" t="s">
        <v>614</v>
      </c>
      <c r="D178" s="1" t="s">
        <v>21</v>
      </c>
      <c r="E178">
        <v>50.262799999999999</v>
      </c>
      <c r="F178">
        <v>18.8536</v>
      </c>
      <c r="G178" t="s">
        <v>31</v>
      </c>
      <c r="H178" t="s">
        <v>38</v>
      </c>
      <c r="I178" t="s">
        <v>349</v>
      </c>
      <c r="J178" t="s">
        <v>80</v>
      </c>
      <c r="K178">
        <v>10</v>
      </c>
      <c r="L178">
        <v>343</v>
      </c>
      <c r="M178">
        <v>3430</v>
      </c>
      <c r="N178" s="1" t="s">
        <v>26</v>
      </c>
      <c r="O178">
        <v>2018</v>
      </c>
      <c r="P178" t="s">
        <v>50</v>
      </c>
      <c r="Q178" t="s">
        <v>28</v>
      </c>
      <c r="R178" t="s">
        <v>29</v>
      </c>
    </row>
    <row r="179" spans="1:18" x14ac:dyDescent="0.25">
      <c r="A179" t="s">
        <v>18</v>
      </c>
      <c r="B179" t="s">
        <v>350</v>
      </c>
      <c r="C179" t="s">
        <v>351</v>
      </c>
      <c r="D179" s="1" t="s">
        <v>21</v>
      </c>
      <c r="E179">
        <v>52.416699999999999</v>
      </c>
      <c r="F179">
        <v>19.466699999999999</v>
      </c>
      <c r="G179" t="s">
        <v>22</v>
      </c>
      <c r="H179" t="s">
        <v>23</v>
      </c>
      <c r="I179" t="s">
        <v>352</v>
      </c>
      <c r="J179" t="s">
        <v>80</v>
      </c>
      <c r="K179">
        <v>10</v>
      </c>
      <c r="L179">
        <v>35</v>
      </c>
      <c r="M179">
        <v>350</v>
      </c>
      <c r="N179" s="1" t="s">
        <v>26</v>
      </c>
      <c r="O179">
        <v>2018</v>
      </c>
      <c r="P179" t="s">
        <v>77</v>
      </c>
      <c r="Q179" t="s">
        <v>56</v>
      </c>
      <c r="R179" t="s">
        <v>57</v>
      </c>
    </row>
    <row r="180" spans="1:18" x14ac:dyDescent="0.25">
      <c r="A180" t="s">
        <v>18</v>
      </c>
      <c r="B180" t="s">
        <v>343</v>
      </c>
      <c r="C180" t="s">
        <v>344</v>
      </c>
      <c r="D180" s="1" t="s">
        <v>21</v>
      </c>
      <c r="E180">
        <v>51.787700000000001</v>
      </c>
      <c r="F180">
        <v>14.9724</v>
      </c>
      <c r="G180" t="s">
        <v>22</v>
      </c>
      <c r="H180" t="s">
        <v>23</v>
      </c>
      <c r="I180" t="s">
        <v>353</v>
      </c>
      <c r="J180" t="s">
        <v>34</v>
      </c>
      <c r="K180">
        <v>6</v>
      </c>
      <c r="L180">
        <v>664</v>
      </c>
      <c r="M180">
        <v>3984</v>
      </c>
      <c r="N180" s="1" t="s">
        <v>26</v>
      </c>
      <c r="O180">
        <v>2018</v>
      </c>
      <c r="P180" t="s">
        <v>50</v>
      </c>
      <c r="Q180" t="s">
        <v>28</v>
      </c>
      <c r="R180" t="s">
        <v>29</v>
      </c>
    </row>
    <row r="181" spans="1:18" x14ac:dyDescent="0.25">
      <c r="A181" t="s">
        <v>18</v>
      </c>
      <c r="B181" t="s">
        <v>189</v>
      </c>
      <c r="C181" t="s">
        <v>190</v>
      </c>
      <c r="D181" s="1" t="s">
        <v>21</v>
      </c>
      <c r="E181">
        <v>54.441899999999997</v>
      </c>
      <c r="F181">
        <v>18.547799999999999</v>
      </c>
      <c r="G181" t="s">
        <v>22</v>
      </c>
      <c r="H181" t="s">
        <v>23</v>
      </c>
      <c r="I181" t="s">
        <v>354</v>
      </c>
      <c r="J181" t="s">
        <v>88</v>
      </c>
      <c r="K181">
        <v>2</v>
      </c>
      <c r="L181">
        <v>420</v>
      </c>
      <c r="M181">
        <v>840</v>
      </c>
      <c r="N181" s="1" t="s">
        <v>26</v>
      </c>
      <c r="O181">
        <v>2018</v>
      </c>
      <c r="P181" t="s">
        <v>60</v>
      </c>
      <c r="Q181" t="s">
        <v>28</v>
      </c>
      <c r="R181" t="s">
        <v>29</v>
      </c>
    </row>
    <row r="182" spans="1:18" x14ac:dyDescent="0.25">
      <c r="A182" t="s">
        <v>18</v>
      </c>
      <c r="B182" t="s">
        <v>259</v>
      </c>
      <c r="C182" t="s">
        <v>596</v>
      </c>
      <c r="D182" s="1" t="s">
        <v>21</v>
      </c>
      <c r="E182">
        <v>50.016199999999998</v>
      </c>
      <c r="F182">
        <v>22.677800000000001</v>
      </c>
      <c r="G182" t="s">
        <v>22</v>
      </c>
      <c r="H182" t="s">
        <v>74</v>
      </c>
      <c r="I182" t="s">
        <v>355</v>
      </c>
      <c r="J182" t="s">
        <v>117</v>
      </c>
      <c r="K182">
        <v>1</v>
      </c>
      <c r="L182">
        <v>420</v>
      </c>
      <c r="M182">
        <v>420</v>
      </c>
      <c r="N182" s="1" t="s">
        <v>26</v>
      </c>
      <c r="O182">
        <v>2018</v>
      </c>
      <c r="P182" t="s">
        <v>66</v>
      </c>
      <c r="Q182" t="s">
        <v>67</v>
      </c>
      <c r="R182" t="s">
        <v>68</v>
      </c>
    </row>
    <row r="183" spans="1:18" x14ac:dyDescent="0.25">
      <c r="A183" t="s">
        <v>18</v>
      </c>
      <c r="B183" t="s">
        <v>89</v>
      </c>
      <c r="C183" t="s">
        <v>548</v>
      </c>
      <c r="D183" s="1" t="s">
        <v>21</v>
      </c>
      <c r="E183">
        <v>50.45</v>
      </c>
      <c r="F183">
        <v>18.866700000000002</v>
      </c>
      <c r="G183" t="s">
        <v>22</v>
      </c>
      <c r="H183" t="s">
        <v>23</v>
      </c>
      <c r="I183" t="s">
        <v>229</v>
      </c>
      <c r="J183" t="s">
        <v>80</v>
      </c>
      <c r="K183">
        <v>5</v>
      </c>
      <c r="L183">
        <v>794</v>
      </c>
      <c r="M183">
        <v>3970</v>
      </c>
      <c r="N183" s="1" t="s">
        <v>26</v>
      </c>
      <c r="O183">
        <v>2018</v>
      </c>
      <c r="P183" t="s">
        <v>81</v>
      </c>
      <c r="Q183" t="s">
        <v>41</v>
      </c>
      <c r="R183" t="s">
        <v>42</v>
      </c>
    </row>
    <row r="184" spans="1:18" x14ac:dyDescent="0.25">
      <c r="A184" t="s">
        <v>18</v>
      </c>
      <c r="B184" t="s">
        <v>356</v>
      </c>
      <c r="C184" t="s">
        <v>357</v>
      </c>
      <c r="D184" s="1" t="s">
        <v>21</v>
      </c>
      <c r="E184">
        <v>50.673099999999998</v>
      </c>
      <c r="F184">
        <v>18.213100000000001</v>
      </c>
      <c r="G184" t="s">
        <v>31</v>
      </c>
      <c r="H184" t="s">
        <v>38</v>
      </c>
      <c r="I184" t="s">
        <v>284</v>
      </c>
      <c r="J184" t="s">
        <v>34</v>
      </c>
      <c r="K184">
        <v>4</v>
      </c>
      <c r="L184">
        <v>611</v>
      </c>
      <c r="M184">
        <v>2444</v>
      </c>
      <c r="N184" s="1" t="s">
        <v>26</v>
      </c>
      <c r="O184">
        <v>2018</v>
      </c>
      <c r="P184" t="s">
        <v>60</v>
      </c>
      <c r="Q184" t="s">
        <v>28</v>
      </c>
      <c r="R184" t="s">
        <v>29</v>
      </c>
    </row>
    <row r="185" spans="1:18" x14ac:dyDescent="0.25">
      <c r="A185" t="s">
        <v>18</v>
      </c>
      <c r="B185" t="s">
        <v>358</v>
      </c>
      <c r="C185" t="s">
        <v>359</v>
      </c>
      <c r="D185" s="1" t="s">
        <v>21</v>
      </c>
      <c r="E185">
        <v>52.427199999999999</v>
      </c>
      <c r="F185">
        <v>22.862500000000001</v>
      </c>
      <c r="G185" t="s">
        <v>22</v>
      </c>
      <c r="H185" t="s">
        <v>23</v>
      </c>
      <c r="I185" t="s">
        <v>349</v>
      </c>
      <c r="J185" t="s">
        <v>80</v>
      </c>
      <c r="K185">
        <v>2</v>
      </c>
      <c r="L185">
        <v>343</v>
      </c>
      <c r="M185">
        <v>686</v>
      </c>
      <c r="N185" s="1" t="s">
        <v>26</v>
      </c>
      <c r="O185">
        <v>2018</v>
      </c>
      <c r="P185" t="s">
        <v>27</v>
      </c>
      <c r="Q185" t="s">
        <v>28</v>
      </c>
      <c r="R185" t="s">
        <v>29</v>
      </c>
    </row>
    <row r="186" spans="1:18" x14ac:dyDescent="0.25">
      <c r="A186" t="s">
        <v>18</v>
      </c>
      <c r="B186" t="s">
        <v>63</v>
      </c>
      <c r="C186" t="s">
        <v>64</v>
      </c>
      <c r="D186" s="1" t="s">
        <v>21</v>
      </c>
      <c r="E186">
        <v>53.3583</v>
      </c>
      <c r="F186">
        <v>20.425000000000001</v>
      </c>
      <c r="G186" t="s">
        <v>22</v>
      </c>
      <c r="H186" t="s">
        <v>23</v>
      </c>
      <c r="I186" t="s">
        <v>128</v>
      </c>
      <c r="J186" t="s">
        <v>80</v>
      </c>
      <c r="K186">
        <v>2</v>
      </c>
      <c r="L186">
        <v>692</v>
      </c>
      <c r="M186">
        <v>1384</v>
      </c>
      <c r="N186" s="1" t="s">
        <v>26</v>
      </c>
      <c r="O186">
        <v>2018</v>
      </c>
      <c r="P186" t="s">
        <v>95</v>
      </c>
      <c r="Q186" t="s">
        <v>67</v>
      </c>
      <c r="R186" t="s">
        <v>68</v>
      </c>
    </row>
    <row r="187" spans="1:18" x14ac:dyDescent="0.25">
      <c r="A187" t="s">
        <v>18</v>
      </c>
      <c r="B187" t="s">
        <v>120</v>
      </c>
      <c r="C187" t="s">
        <v>559</v>
      </c>
      <c r="D187" s="1" t="s">
        <v>21</v>
      </c>
      <c r="E187">
        <v>50.1556</v>
      </c>
      <c r="F187">
        <v>23.123000000000001</v>
      </c>
      <c r="G187" t="s">
        <v>31</v>
      </c>
      <c r="H187" t="s">
        <v>38</v>
      </c>
      <c r="I187" t="s">
        <v>143</v>
      </c>
      <c r="J187" t="s">
        <v>88</v>
      </c>
      <c r="K187">
        <v>6</v>
      </c>
      <c r="L187">
        <v>768</v>
      </c>
      <c r="M187">
        <v>4608</v>
      </c>
      <c r="N187" s="1" t="s">
        <v>26</v>
      </c>
      <c r="O187">
        <v>2018</v>
      </c>
      <c r="P187" t="s">
        <v>55</v>
      </c>
      <c r="Q187" t="s">
        <v>56</v>
      </c>
      <c r="R187" t="s">
        <v>57</v>
      </c>
    </row>
    <row r="188" spans="1:18" x14ac:dyDescent="0.25">
      <c r="A188" t="s">
        <v>18</v>
      </c>
      <c r="B188" t="s">
        <v>236</v>
      </c>
      <c r="C188" t="s">
        <v>237</v>
      </c>
      <c r="D188" s="1" t="s">
        <v>21</v>
      </c>
      <c r="E188">
        <v>50.297600000000003</v>
      </c>
      <c r="F188">
        <v>18.676600000000001</v>
      </c>
      <c r="G188" t="s">
        <v>31</v>
      </c>
      <c r="H188" t="s">
        <v>32</v>
      </c>
      <c r="I188" t="s">
        <v>360</v>
      </c>
      <c r="J188" t="s">
        <v>25</v>
      </c>
      <c r="K188">
        <v>100</v>
      </c>
      <c r="L188">
        <v>180</v>
      </c>
      <c r="M188">
        <v>18000</v>
      </c>
      <c r="N188" s="1" t="s">
        <v>26</v>
      </c>
      <c r="O188">
        <v>2018</v>
      </c>
      <c r="P188" t="s">
        <v>60</v>
      </c>
      <c r="Q188" t="s">
        <v>28</v>
      </c>
      <c r="R188" t="s">
        <v>29</v>
      </c>
    </row>
    <row r="189" spans="1:18" x14ac:dyDescent="0.25">
      <c r="A189" t="s">
        <v>18</v>
      </c>
      <c r="B189" t="s">
        <v>238</v>
      </c>
      <c r="C189" t="s">
        <v>239</v>
      </c>
      <c r="D189" s="1" t="s">
        <v>21</v>
      </c>
      <c r="E189">
        <v>49.75</v>
      </c>
      <c r="F189">
        <v>18.633299999999998</v>
      </c>
      <c r="G189" t="s">
        <v>31</v>
      </c>
      <c r="H189" t="s">
        <v>32</v>
      </c>
      <c r="I189" t="s">
        <v>361</v>
      </c>
      <c r="J189" t="s">
        <v>80</v>
      </c>
      <c r="K189">
        <v>10</v>
      </c>
      <c r="L189">
        <v>742</v>
      </c>
      <c r="M189">
        <v>7420</v>
      </c>
      <c r="N189" s="1" t="s">
        <v>26</v>
      </c>
      <c r="O189">
        <v>2018</v>
      </c>
      <c r="P189" t="s">
        <v>35</v>
      </c>
      <c r="Q189" t="s">
        <v>28</v>
      </c>
      <c r="R189" t="s">
        <v>29</v>
      </c>
    </row>
    <row r="190" spans="1:18" x14ac:dyDescent="0.25">
      <c r="A190" t="s">
        <v>18</v>
      </c>
      <c r="B190" t="s">
        <v>362</v>
      </c>
      <c r="C190" t="s">
        <v>615</v>
      </c>
      <c r="D190" s="1" t="s">
        <v>21</v>
      </c>
      <c r="E190">
        <v>52.588299999999997</v>
      </c>
      <c r="F190">
        <v>14.666700000000001</v>
      </c>
      <c r="G190" t="s">
        <v>22</v>
      </c>
      <c r="H190" t="s">
        <v>74</v>
      </c>
      <c r="I190" t="s">
        <v>79</v>
      </c>
      <c r="J190" t="s">
        <v>80</v>
      </c>
      <c r="K190">
        <v>1</v>
      </c>
      <c r="L190">
        <v>249</v>
      </c>
      <c r="M190">
        <v>249</v>
      </c>
      <c r="N190" s="1" t="s">
        <v>26</v>
      </c>
      <c r="O190">
        <v>2018</v>
      </c>
      <c r="P190" t="s">
        <v>106</v>
      </c>
      <c r="Q190" t="s">
        <v>67</v>
      </c>
      <c r="R190" t="s">
        <v>68</v>
      </c>
    </row>
    <row r="191" spans="1:18" x14ac:dyDescent="0.25">
      <c r="A191" t="s">
        <v>18</v>
      </c>
      <c r="B191" t="s">
        <v>173</v>
      </c>
      <c r="C191" t="s">
        <v>576</v>
      </c>
      <c r="D191" s="1" t="s">
        <v>21</v>
      </c>
      <c r="E191">
        <v>53.916699999999999</v>
      </c>
      <c r="F191">
        <v>14.25</v>
      </c>
      <c r="G191" t="s">
        <v>22</v>
      </c>
      <c r="H191" t="s">
        <v>74</v>
      </c>
      <c r="I191" t="s">
        <v>179</v>
      </c>
      <c r="J191" t="s">
        <v>34</v>
      </c>
      <c r="K191">
        <v>250</v>
      </c>
      <c r="L191">
        <v>424</v>
      </c>
      <c r="N191" s="1" t="s">
        <v>26</v>
      </c>
      <c r="O191">
        <v>2018</v>
      </c>
      <c r="P191" t="s">
        <v>71</v>
      </c>
      <c r="Q191" t="s">
        <v>41</v>
      </c>
      <c r="R191" t="s">
        <v>42</v>
      </c>
    </row>
    <row r="192" spans="1:18" x14ac:dyDescent="0.25">
      <c r="A192" t="s">
        <v>18</v>
      </c>
      <c r="B192" t="s">
        <v>138</v>
      </c>
      <c r="C192" t="s">
        <v>563</v>
      </c>
      <c r="D192" s="1" t="s">
        <v>21</v>
      </c>
      <c r="E192">
        <v>53.2667</v>
      </c>
      <c r="F192">
        <v>16.466699999999999</v>
      </c>
      <c r="G192" t="s">
        <v>22</v>
      </c>
      <c r="H192" t="s">
        <v>74</v>
      </c>
      <c r="I192" t="s">
        <v>265</v>
      </c>
      <c r="J192" t="s">
        <v>80</v>
      </c>
      <c r="K192">
        <v>10</v>
      </c>
      <c r="L192">
        <v>390</v>
      </c>
      <c r="N192" s="1" t="s">
        <v>26</v>
      </c>
      <c r="O192">
        <v>2018</v>
      </c>
      <c r="P192" t="s">
        <v>103</v>
      </c>
      <c r="Q192" t="s">
        <v>56</v>
      </c>
      <c r="R192" t="s">
        <v>57</v>
      </c>
    </row>
    <row r="193" spans="1:18" x14ac:dyDescent="0.25">
      <c r="A193" t="s">
        <v>18</v>
      </c>
      <c r="B193" t="s">
        <v>363</v>
      </c>
      <c r="C193" t="s">
        <v>364</v>
      </c>
      <c r="D193" s="1" t="s">
        <v>21</v>
      </c>
      <c r="E193">
        <v>50</v>
      </c>
      <c r="F193">
        <v>19.149999999999999</v>
      </c>
      <c r="G193" t="s">
        <v>22</v>
      </c>
      <c r="H193" t="s">
        <v>23</v>
      </c>
      <c r="I193" t="s">
        <v>315</v>
      </c>
      <c r="J193" t="s">
        <v>25</v>
      </c>
      <c r="K193">
        <v>5</v>
      </c>
      <c r="L193">
        <v>334</v>
      </c>
      <c r="N193" s="1" t="s">
        <v>26</v>
      </c>
      <c r="O193">
        <v>2018</v>
      </c>
      <c r="P193" t="s">
        <v>40</v>
      </c>
      <c r="Q193" t="s">
        <v>41</v>
      </c>
      <c r="R193" t="s">
        <v>42</v>
      </c>
    </row>
    <row r="194" spans="1:18" x14ac:dyDescent="0.25">
      <c r="A194" t="s">
        <v>18</v>
      </c>
      <c r="B194" t="s">
        <v>365</v>
      </c>
      <c r="C194" t="s">
        <v>366</v>
      </c>
      <c r="D194" s="1" t="s">
        <v>21</v>
      </c>
      <c r="E194">
        <v>52.533299999999997</v>
      </c>
      <c r="F194">
        <v>17.600000000000001</v>
      </c>
      <c r="G194" t="s">
        <v>31</v>
      </c>
      <c r="H194" t="s">
        <v>32</v>
      </c>
      <c r="I194" t="s">
        <v>367</v>
      </c>
      <c r="J194" t="s">
        <v>80</v>
      </c>
      <c r="K194">
        <v>5</v>
      </c>
      <c r="L194">
        <v>416</v>
      </c>
      <c r="N194" s="1" t="s">
        <v>26</v>
      </c>
      <c r="O194">
        <v>2018</v>
      </c>
      <c r="P194" t="s">
        <v>35</v>
      </c>
      <c r="Q194" t="s">
        <v>28</v>
      </c>
      <c r="R194" t="s">
        <v>29</v>
      </c>
    </row>
    <row r="195" spans="1:18" x14ac:dyDescent="0.25">
      <c r="A195" t="s">
        <v>18</v>
      </c>
      <c r="B195" t="s">
        <v>151</v>
      </c>
      <c r="C195" t="s">
        <v>152</v>
      </c>
      <c r="D195" s="1" t="s">
        <v>21</v>
      </c>
      <c r="E195">
        <v>52.883299999999998</v>
      </c>
      <c r="F195">
        <v>18.783300000000001</v>
      </c>
      <c r="G195" t="s">
        <v>31</v>
      </c>
      <c r="H195" t="s">
        <v>32</v>
      </c>
      <c r="I195" t="s">
        <v>309</v>
      </c>
      <c r="J195" t="s">
        <v>88</v>
      </c>
      <c r="K195">
        <v>100</v>
      </c>
      <c r="L195">
        <v>141</v>
      </c>
      <c r="N195" s="1" t="s">
        <v>26</v>
      </c>
      <c r="O195">
        <v>2018</v>
      </c>
      <c r="P195" t="s">
        <v>55</v>
      </c>
      <c r="Q195" t="s">
        <v>56</v>
      </c>
      <c r="R195" t="s">
        <v>57</v>
      </c>
    </row>
    <row r="196" spans="1:18" x14ac:dyDescent="0.25">
      <c r="A196" t="s">
        <v>18</v>
      </c>
      <c r="B196" t="s">
        <v>69</v>
      </c>
      <c r="C196" t="s">
        <v>545</v>
      </c>
      <c r="D196" s="1" t="s">
        <v>21</v>
      </c>
      <c r="E196">
        <v>50.061399999999999</v>
      </c>
      <c r="F196">
        <v>19.937200000000001</v>
      </c>
      <c r="G196" t="s">
        <v>22</v>
      </c>
      <c r="H196" t="s">
        <v>23</v>
      </c>
      <c r="I196" t="s">
        <v>75</v>
      </c>
      <c r="J196" t="s">
        <v>25</v>
      </c>
      <c r="K196">
        <v>2</v>
      </c>
      <c r="L196">
        <v>762</v>
      </c>
      <c r="N196" s="1" t="s">
        <v>26</v>
      </c>
      <c r="O196">
        <v>2018</v>
      </c>
      <c r="P196" t="s">
        <v>106</v>
      </c>
      <c r="Q196" t="s">
        <v>67</v>
      </c>
      <c r="R196" t="s">
        <v>68</v>
      </c>
    </row>
    <row r="197" spans="1:18" x14ac:dyDescent="0.25">
      <c r="A197" t="s">
        <v>18</v>
      </c>
      <c r="B197" t="s">
        <v>166</v>
      </c>
      <c r="C197" t="s">
        <v>573</v>
      </c>
      <c r="D197" s="1" t="s">
        <v>21</v>
      </c>
      <c r="E197">
        <v>52.058300000000003</v>
      </c>
      <c r="F197">
        <v>19.2</v>
      </c>
      <c r="G197" t="s">
        <v>31</v>
      </c>
      <c r="H197" t="s">
        <v>38</v>
      </c>
      <c r="I197" t="s">
        <v>185</v>
      </c>
      <c r="J197" t="s">
        <v>45</v>
      </c>
      <c r="K197">
        <v>17</v>
      </c>
      <c r="L197">
        <v>722</v>
      </c>
      <c r="N197" s="1" t="s">
        <v>26</v>
      </c>
      <c r="O197">
        <v>2018</v>
      </c>
      <c r="P197" t="s">
        <v>40</v>
      </c>
      <c r="Q197" t="s">
        <v>41</v>
      </c>
      <c r="R197" t="s">
        <v>42</v>
      </c>
    </row>
    <row r="198" spans="1:18" x14ac:dyDescent="0.25">
      <c r="A198" t="s">
        <v>18</v>
      </c>
      <c r="B198" t="s">
        <v>308</v>
      </c>
      <c r="C198" t="s">
        <v>608</v>
      </c>
      <c r="D198" s="1" t="s">
        <v>21</v>
      </c>
      <c r="E198">
        <v>49.666699999999999</v>
      </c>
      <c r="F198">
        <v>18.866700000000002</v>
      </c>
      <c r="G198" t="s">
        <v>31</v>
      </c>
      <c r="H198" t="s">
        <v>38</v>
      </c>
      <c r="I198" t="s">
        <v>368</v>
      </c>
      <c r="J198" t="s">
        <v>117</v>
      </c>
      <c r="K198">
        <v>2</v>
      </c>
      <c r="L198">
        <v>377</v>
      </c>
      <c r="N198" s="1" t="s">
        <v>26</v>
      </c>
      <c r="O198">
        <v>2018</v>
      </c>
      <c r="P198" t="s">
        <v>35</v>
      </c>
      <c r="Q198" t="s">
        <v>28</v>
      </c>
      <c r="R198" t="s">
        <v>29</v>
      </c>
    </row>
    <row r="199" spans="1:18" x14ac:dyDescent="0.25">
      <c r="A199" t="s">
        <v>18</v>
      </c>
      <c r="B199" t="s">
        <v>189</v>
      </c>
      <c r="C199" t="s">
        <v>190</v>
      </c>
      <c r="D199" s="1" t="s">
        <v>21</v>
      </c>
      <c r="E199">
        <v>54.441899999999997</v>
      </c>
      <c r="F199">
        <v>18.547799999999999</v>
      </c>
      <c r="G199" t="s">
        <v>22</v>
      </c>
      <c r="H199" t="s">
        <v>23</v>
      </c>
      <c r="I199" t="s">
        <v>148</v>
      </c>
      <c r="J199" t="s">
        <v>34</v>
      </c>
      <c r="K199">
        <v>1</v>
      </c>
      <c r="L199">
        <v>458</v>
      </c>
      <c r="N199" s="1" t="s">
        <v>26</v>
      </c>
      <c r="O199">
        <v>2018</v>
      </c>
      <c r="P199" t="s">
        <v>81</v>
      </c>
      <c r="Q199" t="s">
        <v>41</v>
      </c>
      <c r="R199" t="s">
        <v>42</v>
      </c>
    </row>
    <row r="200" spans="1:18" x14ac:dyDescent="0.25">
      <c r="A200" t="s">
        <v>18</v>
      </c>
      <c r="B200" t="s">
        <v>369</v>
      </c>
      <c r="C200" t="s">
        <v>616</v>
      </c>
      <c r="D200" s="1" t="s">
        <v>21</v>
      </c>
      <c r="E200">
        <v>49.716700000000003</v>
      </c>
      <c r="F200">
        <v>18.816700000000001</v>
      </c>
      <c r="G200" t="s">
        <v>22</v>
      </c>
      <c r="H200" t="s">
        <v>74</v>
      </c>
      <c r="I200" t="s">
        <v>354</v>
      </c>
      <c r="J200" t="s">
        <v>88</v>
      </c>
      <c r="K200">
        <v>1</v>
      </c>
      <c r="L200">
        <v>420</v>
      </c>
      <c r="N200" s="1" t="s">
        <v>26</v>
      </c>
      <c r="O200">
        <v>2018</v>
      </c>
      <c r="P200" t="s">
        <v>106</v>
      </c>
      <c r="Q200" t="s">
        <v>67</v>
      </c>
      <c r="R200" t="s">
        <v>68</v>
      </c>
    </row>
    <row r="201" spans="1:18" x14ac:dyDescent="0.25">
      <c r="A201" t="s">
        <v>18</v>
      </c>
      <c r="B201" t="s">
        <v>151</v>
      </c>
      <c r="C201" t="s">
        <v>152</v>
      </c>
      <c r="D201" s="1" t="s">
        <v>21</v>
      </c>
      <c r="E201">
        <v>52.883299999999998</v>
      </c>
      <c r="F201">
        <v>18.783300000000001</v>
      </c>
      <c r="G201" t="s">
        <v>31</v>
      </c>
      <c r="H201" t="s">
        <v>32</v>
      </c>
      <c r="I201" t="s">
        <v>370</v>
      </c>
      <c r="J201" t="s">
        <v>80</v>
      </c>
      <c r="K201">
        <v>6</v>
      </c>
      <c r="L201">
        <v>785</v>
      </c>
      <c r="N201" s="1" t="s">
        <v>26</v>
      </c>
      <c r="O201">
        <v>2018</v>
      </c>
      <c r="P201" t="s">
        <v>27</v>
      </c>
      <c r="Q201" t="s">
        <v>28</v>
      </c>
      <c r="R201" t="s">
        <v>29</v>
      </c>
    </row>
    <row r="202" spans="1:18" x14ac:dyDescent="0.25">
      <c r="A202" t="s">
        <v>18</v>
      </c>
      <c r="B202" t="s">
        <v>371</v>
      </c>
      <c r="C202" t="s">
        <v>617</v>
      </c>
      <c r="D202" s="1" t="s">
        <v>21</v>
      </c>
      <c r="E202">
        <v>52.339500000000001</v>
      </c>
      <c r="F202">
        <v>21.195900000000002</v>
      </c>
      <c r="G202" t="s">
        <v>22</v>
      </c>
      <c r="H202" t="s">
        <v>74</v>
      </c>
      <c r="I202" t="s">
        <v>372</v>
      </c>
      <c r="J202" t="s">
        <v>34</v>
      </c>
      <c r="K202">
        <v>3</v>
      </c>
      <c r="L202">
        <v>780</v>
      </c>
      <c r="N202" s="1" t="s">
        <v>26</v>
      </c>
      <c r="O202">
        <v>2018</v>
      </c>
      <c r="P202" t="s">
        <v>81</v>
      </c>
      <c r="Q202" t="s">
        <v>41</v>
      </c>
      <c r="R202" t="s">
        <v>42</v>
      </c>
    </row>
    <row r="203" spans="1:18" x14ac:dyDescent="0.25">
      <c r="A203" t="s">
        <v>18</v>
      </c>
      <c r="B203" t="s">
        <v>107</v>
      </c>
      <c r="C203" t="s">
        <v>108</v>
      </c>
      <c r="D203" s="1" t="s">
        <v>21</v>
      </c>
      <c r="E203">
        <v>53.833300000000001</v>
      </c>
      <c r="F203">
        <v>18.833300000000001</v>
      </c>
      <c r="G203" t="s">
        <v>31</v>
      </c>
      <c r="H203" t="s">
        <v>32</v>
      </c>
      <c r="I203" t="s">
        <v>349</v>
      </c>
      <c r="J203" t="s">
        <v>80</v>
      </c>
      <c r="K203">
        <v>10</v>
      </c>
      <c r="L203">
        <v>343</v>
      </c>
      <c r="N203" s="1" t="s">
        <v>54</v>
      </c>
      <c r="O203">
        <v>2018</v>
      </c>
      <c r="P203" t="s">
        <v>35</v>
      </c>
      <c r="Q203" t="s">
        <v>28</v>
      </c>
      <c r="R203" t="s">
        <v>29</v>
      </c>
    </row>
    <row r="204" spans="1:18" x14ac:dyDescent="0.25">
      <c r="A204" t="s">
        <v>18</v>
      </c>
      <c r="B204" t="s">
        <v>263</v>
      </c>
      <c r="C204" t="s">
        <v>264</v>
      </c>
      <c r="D204" s="1" t="s">
        <v>21</v>
      </c>
      <c r="E204">
        <v>52.2333</v>
      </c>
      <c r="F204">
        <v>19.366700000000002</v>
      </c>
      <c r="G204" t="s">
        <v>31</v>
      </c>
      <c r="H204" t="s">
        <v>32</v>
      </c>
      <c r="I204" t="s">
        <v>373</v>
      </c>
      <c r="J204" t="s">
        <v>25</v>
      </c>
      <c r="K204">
        <v>3</v>
      </c>
      <c r="L204">
        <v>172</v>
      </c>
      <c r="N204" s="1" t="s">
        <v>26</v>
      </c>
      <c r="O204">
        <v>2018</v>
      </c>
      <c r="P204" t="s">
        <v>103</v>
      </c>
      <c r="Q204" t="s">
        <v>56</v>
      </c>
      <c r="R204" t="s">
        <v>57</v>
      </c>
    </row>
    <row r="205" spans="1:18" x14ac:dyDescent="0.25">
      <c r="A205" t="s">
        <v>18</v>
      </c>
      <c r="B205" t="s">
        <v>374</v>
      </c>
      <c r="C205" t="s">
        <v>375</v>
      </c>
      <c r="D205" s="1" t="s">
        <v>21</v>
      </c>
      <c r="E205">
        <v>52.093800000000002</v>
      </c>
      <c r="F205">
        <v>21.117599999999999</v>
      </c>
      <c r="G205" t="s">
        <v>22</v>
      </c>
      <c r="H205" t="s">
        <v>23</v>
      </c>
      <c r="I205" t="s">
        <v>121</v>
      </c>
      <c r="J205" t="s">
        <v>117</v>
      </c>
      <c r="K205">
        <v>2</v>
      </c>
      <c r="L205">
        <v>511</v>
      </c>
      <c r="N205" s="1" t="s">
        <v>26</v>
      </c>
      <c r="O205">
        <v>2018</v>
      </c>
      <c r="P205" t="s">
        <v>40</v>
      </c>
      <c r="Q205" t="s">
        <v>41</v>
      </c>
      <c r="R205" t="s">
        <v>42</v>
      </c>
    </row>
    <row r="206" spans="1:18" x14ac:dyDescent="0.25">
      <c r="A206" t="s">
        <v>18</v>
      </c>
      <c r="B206" t="s">
        <v>369</v>
      </c>
      <c r="C206" t="s">
        <v>616</v>
      </c>
      <c r="D206" s="1" t="s">
        <v>21</v>
      </c>
      <c r="E206">
        <v>49.716700000000003</v>
      </c>
      <c r="F206">
        <v>18.816700000000001</v>
      </c>
      <c r="G206" t="s">
        <v>22</v>
      </c>
      <c r="H206" t="s">
        <v>74</v>
      </c>
      <c r="I206" t="s">
        <v>376</v>
      </c>
      <c r="J206" t="s">
        <v>34</v>
      </c>
      <c r="K206">
        <v>20</v>
      </c>
      <c r="L206">
        <v>458</v>
      </c>
      <c r="N206" s="1" t="s">
        <v>26</v>
      </c>
      <c r="O206">
        <v>2018</v>
      </c>
      <c r="P206" t="s">
        <v>27</v>
      </c>
      <c r="Q206" t="s">
        <v>28</v>
      </c>
      <c r="R206" t="s">
        <v>29</v>
      </c>
    </row>
    <row r="207" spans="1:18" x14ac:dyDescent="0.25">
      <c r="A207" t="s">
        <v>18</v>
      </c>
      <c r="B207" t="s">
        <v>243</v>
      </c>
      <c r="C207" t="s">
        <v>591</v>
      </c>
      <c r="D207" s="1" t="s">
        <v>21</v>
      </c>
      <c r="E207">
        <v>53.349200000000003</v>
      </c>
      <c r="F207">
        <v>18.426100000000002</v>
      </c>
      <c r="G207" t="s">
        <v>22</v>
      </c>
      <c r="H207" t="s">
        <v>23</v>
      </c>
      <c r="I207" t="s">
        <v>377</v>
      </c>
      <c r="J207" t="s">
        <v>88</v>
      </c>
      <c r="K207">
        <v>5</v>
      </c>
      <c r="L207">
        <v>438</v>
      </c>
      <c r="N207" s="1" t="s">
        <v>26</v>
      </c>
      <c r="O207">
        <v>2018</v>
      </c>
      <c r="P207" t="s">
        <v>27</v>
      </c>
      <c r="Q207" t="s">
        <v>28</v>
      </c>
      <c r="R207" t="s">
        <v>29</v>
      </c>
    </row>
    <row r="208" spans="1:18" x14ac:dyDescent="0.25">
      <c r="A208" t="s">
        <v>18</v>
      </c>
      <c r="B208" t="s">
        <v>378</v>
      </c>
      <c r="C208" t="s">
        <v>618</v>
      </c>
      <c r="D208" s="1" t="s">
        <v>21</v>
      </c>
      <c r="E208">
        <v>50.898600000000002</v>
      </c>
      <c r="F208">
        <v>16.744399999999999</v>
      </c>
      <c r="G208" t="s">
        <v>22</v>
      </c>
      <c r="H208" t="s">
        <v>23</v>
      </c>
      <c r="I208" t="s">
        <v>379</v>
      </c>
      <c r="J208" t="s">
        <v>117</v>
      </c>
      <c r="K208">
        <v>10</v>
      </c>
      <c r="L208">
        <v>24</v>
      </c>
      <c r="M208">
        <v>240</v>
      </c>
      <c r="N208" s="1" t="s">
        <v>26</v>
      </c>
      <c r="O208">
        <v>2018</v>
      </c>
      <c r="P208" t="s">
        <v>55</v>
      </c>
      <c r="Q208" t="s">
        <v>56</v>
      </c>
      <c r="R208" t="s">
        <v>57</v>
      </c>
    </row>
    <row r="209" spans="1:18" x14ac:dyDescent="0.25">
      <c r="A209" t="s">
        <v>18</v>
      </c>
      <c r="B209" t="s">
        <v>380</v>
      </c>
      <c r="C209" t="s">
        <v>381</v>
      </c>
      <c r="D209" s="1" t="s">
        <v>21</v>
      </c>
      <c r="E209">
        <v>51.273000000000003</v>
      </c>
      <c r="F209">
        <v>16.708100000000002</v>
      </c>
      <c r="G209" t="s">
        <v>22</v>
      </c>
      <c r="H209" t="s">
        <v>23</v>
      </c>
      <c r="I209" t="s">
        <v>347</v>
      </c>
      <c r="J209" t="s">
        <v>117</v>
      </c>
      <c r="K209">
        <v>2</v>
      </c>
      <c r="L209">
        <v>73</v>
      </c>
      <c r="M209">
        <v>146</v>
      </c>
      <c r="N209" s="1" t="s">
        <v>26</v>
      </c>
      <c r="O209">
        <v>2018</v>
      </c>
      <c r="P209" t="s">
        <v>35</v>
      </c>
      <c r="Q209" t="s">
        <v>28</v>
      </c>
      <c r="R209" t="s">
        <v>29</v>
      </c>
    </row>
    <row r="210" spans="1:18" x14ac:dyDescent="0.25">
      <c r="A210" t="s">
        <v>18</v>
      </c>
      <c r="B210" t="s">
        <v>259</v>
      </c>
      <c r="C210" t="s">
        <v>596</v>
      </c>
      <c r="D210" s="1" t="s">
        <v>21</v>
      </c>
      <c r="E210">
        <v>50.016199999999998</v>
      </c>
      <c r="F210">
        <v>22.677800000000001</v>
      </c>
      <c r="G210" t="s">
        <v>22</v>
      </c>
      <c r="H210" t="s">
        <v>74</v>
      </c>
      <c r="I210" t="s">
        <v>382</v>
      </c>
      <c r="J210" t="s">
        <v>25</v>
      </c>
      <c r="K210">
        <v>4</v>
      </c>
      <c r="L210">
        <v>304</v>
      </c>
      <c r="M210">
        <v>1216</v>
      </c>
      <c r="N210" s="1" t="s">
        <v>26</v>
      </c>
      <c r="O210">
        <v>2018</v>
      </c>
      <c r="P210" t="s">
        <v>40</v>
      </c>
      <c r="Q210" t="s">
        <v>41</v>
      </c>
      <c r="R210" t="s">
        <v>42</v>
      </c>
    </row>
    <row r="211" spans="1:18" x14ac:dyDescent="0.25">
      <c r="A211" t="s">
        <v>18</v>
      </c>
      <c r="B211" t="s">
        <v>231</v>
      </c>
      <c r="C211" t="s">
        <v>590</v>
      </c>
      <c r="D211" s="1" t="s">
        <v>21</v>
      </c>
      <c r="E211">
        <v>52.253100000000003</v>
      </c>
      <c r="F211">
        <v>15.9178</v>
      </c>
      <c r="G211" t="s">
        <v>22</v>
      </c>
      <c r="H211" t="s">
        <v>23</v>
      </c>
      <c r="I211" t="s">
        <v>174</v>
      </c>
      <c r="J211" t="s">
        <v>45</v>
      </c>
      <c r="K211">
        <v>4</v>
      </c>
      <c r="L211">
        <v>778</v>
      </c>
      <c r="M211">
        <v>3112</v>
      </c>
      <c r="N211" s="1" t="s">
        <v>26</v>
      </c>
      <c r="O211">
        <v>2018</v>
      </c>
      <c r="P211" t="s">
        <v>77</v>
      </c>
      <c r="Q211" t="s">
        <v>56</v>
      </c>
      <c r="R211" t="s">
        <v>57</v>
      </c>
    </row>
    <row r="212" spans="1:18" x14ac:dyDescent="0.25">
      <c r="A212" t="s">
        <v>18</v>
      </c>
      <c r="B212" t="s">
        <v>383</v>
      </c>
      <c r="C212" t="s">
        <v>384</v>
      </c>
      <c r="D212" s="1" t="s">
        <v>21</v>
      </c>
      <c r="E212">
        <v>54.518900000000002</v>
      </c>
      <c r="F212">
        <v>18.5319</v>
      </c>
      <c r="G212" t="s">
        <v>31</v>
      </c>
      <c r="H212" t="s">
        <v>32</v>
      </c>
      <c r="I212" t="s">
        <v>200</v>
      </c>
      <c r="J212" t="s">
        <v>45</v>
      </c>
      <c r="K212">
        <v>1</v>
      </c>
      <c r="L212">
        <v>179</v>
      </c>
      <c r="M212">
        <v>179</v>
      </c>
      <c r="N212" s="1" t="s">
        <v>26</v>
      </c>
      <c r="O212">
        <v>2018</v>
      </c>
      <c r="P212" t="s">
        <v>35</v>
      </c>
      <c r="Q212" t="s">
        <v>28</v>
      </c>
      <c r="R212" t="s">
        <v>29</v>
      </c>
    </row>
    <row r="213" spans="1:18" x14ac:dyDescent="0.25">
      <c r="A213" t="s">
        <v>18</v>
      </c>
      <c r="B213" t="s">
        <v>287</v>
      </c>
      <c r="C213" t="s">
        <v>601</v>
      </c>
      <c r="D213" s="1" t="s">
        <v>21</v>
      </c>
      <c r="E213">
        <v>52.65</v>
      </c>
      <c r="F213">
        <v>19.05</v>
      </c>
      <c r="G213" t="s">
        <v>22</v>
      </c>
      <c r="H213" t="s">
        <v>23</v>
      </c>
      <c r="I213" t="s">
        <v>59</v>
      </c>
      <c r="J213" t="s">
        <v>45</v>
      </c>
      <c r="K213">
        <v>1</v>
      </c>
      <c r="L213">
        <v>536</v>
      </c>
      <c r="M213">
        <v>536</v>
      </c>
      <c r="N213" s="1" t="s">
        <v>26</v>
      </c>
      <c r="O213">
        <v>2018</v>
      </c>
      <c r="P213" t="s">
        <v>55</v>
      </c>
      <c r="Q213" t="s">
        <v>56</v>
      </c>
      <c r="R213" t="s">
        <v>57</v>
      </c>
    </row>
    <row r="214" spans="1:18" x14ac:dyDescent="0.25">
      <c r="A214" t="s">
        <v>18</v>
      </c>
      <c r="B214" t="s">
        <v>233</v>
      </c>
      <c r="C214" t="s">
        <v>234</v>
      </c>
      <c r="D214" s="1" t="s">
        <v>21</v>
      </c>
      <c r="E214">
        <v>54.383299999999998</v>
      </c>
      <c r="F214">
        <v>19.833300000000001</v>
      </c>
      <c r="G214" t="s">
        <v>31</v>
      </c>
      <c r="H214" t="s">
        <v>32</v>
      </c>
      <c r="I214" t="s">
        <v>174</v>
      </c>
      <c r="J214" t="s">
        <v>45</v>
      </c>
      <c r="K214">
        <v>5</v>
      </c>
      <c r="L214">
        <v>778</v>
      </c>
      <c r="M214">
        <v>3890</v>
      </c>
      <c r="N214" s="1" t="s">
        <v>26</v>
      </c>
      <c r="O214">
        <v>2018</v>
      </c>
      <c r="P214" t="s">
        <v>103</v>
      </c>
      <c r="Q214" t="s">
        <v>56</v>
      </c>
      <c r="R214" t="s">
        <v>57</v>
      </c>
    </row>
    <row r="215" spans="1:18" x14ac:dyDescent="0.25">
      <c r="A215" t="s">
        <v>18</v>
      </c>
      <c r="B215" t="s">
        <v>385</v>
      </c>
      <c r="C215" t="s">
        <v>619</v>
      </c>
      <c r="D215" s="1" t="s">
        <v>21</v>
      </c>
      <c r="E215">
        <v>50.433300000000003</v>
      </c>
      <c r="F215">
        <v>21.283300000000001</v>
      </c>
      <c r="G215" t="s">
        <v>31</v>
      </c>
      <c r="H215" t="s">
        <v>38</v>
      </c>
      <c r="I215" t="s">
        <v>284</v>
      </c>
      <c r="J215" t="s">
        <v>34</v>
      </c>
      <c r="K215">
        <v>10</v>
      </c>
      <c r="L215">
        <v>611</v>
      </c>
      <c r="M215">
        <v>6110</v>
      </c>
      <c r="N215" s="1" t="s">
        <v>386</v>
      </c>
      <c r="O215">
        <v>2018</v>
      </c>
      <c r="P215" t="s">
        <v>50</v>
      </c>
      <c r="Q215" t="s">
        <v>28</v>
      </c>
      <c r="R215" t="s">
        <v>29</v>
      </c>
    </row>
    <row r="216" spans="1:18" x14ac:dyDescent="0.25">
      <c r="A216" t="s">
        <v>18</v>
      </c>
      <c r="B216" t="s">
        <v>311</v>
      </c>
      <c r="C216" t="s">
        <v>312</v>
      </c>
      <c r="D216" s="1" t="s">
        <v>21</v>
      </c>
      <c r="E216">
        <v>49.9833</v>
      </c>
      <c r="F216">
        <v>20.433299999999999</v>
      </c>
      <c r="G216" t="s">
        <v>31</v>
      </c>
      <c r="H216" t="s">
        <v>38</v>
      </c>
      <c r="I216" t="s">
        <v>213</v>
      </c>
      <c r="J216" t="s">
        <v>88</v>
      </c>
      <c r="K216">
        <v>1</v>
      </c>
      <c r="L216">
        <v>628</v>
      </c>
      <c r="M216">
        <v>628</v>
      </c>
      <c r="N216" s="1" t="s">
        <v>26</v>
      </c>
      <c r="O216">
        <v>2018</v>
      </c>
      <c r="P216" t="s">
        <v>27</v>
      </c>
      <c r="Q216" t="s">
        <v>28</v>
      </c>
      <c r="R216" t="s">
        <v>29</v>
      </c>
    </row>
    <row r="217" spans="1:18" x14ac:dyDescent="0.25">
      <c r="A217" t="s">
        <v>18</v>
      </c>
      <c r="B217" t="s">
        <v>231</v>
      </c>
      <c r="C217" t="s">
        <v>590</v>
      </c>
      <c r="D217" s="1" t="s">
        <v>21</v>
      </c>
      <c r="E217">
        <v>52.253100000000003</v>
      </c>
      <c r="F217">
        <v>15.9178</v>
      </c>
      <c r="G217" t="s">
        <v>22</v>
      </c>
      <c r="H217" t="s">
        <v>23</v>
      </c>
      <c r="I217" t="s">
        <v>387</v>
      </c>
      <c r="J217" t="s">
        <v>88</v>
      </c>
      <c r="K217">
        <v>4</v>
      </c>
      <c r="L217">
        <v>162</v>
      </c>
      <c r="M217">
        <v>648</v>
      </c>
      <c r="N217" s="1" t="s">
        <v>26</v>
      </c>
      <c r="O217">
        <v>2018</v>
      </c>
      <c r="P217" t="s">
        <v>77</v>
      </c>
      <c r="Q217" t="s">
        <v>56</v>
      </c>
      <c r="R217" t="s">
        <v>57</v>
      </c>
    </row>
    <row r="218" spans="1:18" x14ac:dyDescent="0.25">
      <c r="A218" t="s">
        <v>18</v>
      </c>
      <c r="B218" t="s">
        <v>138</v>
      </c>
      <c r="C218" t="s">
        <v>563</v>
      </c>
      <c r="D218" s="1" t="s">
        <v>21</v>
      </c>
      <c r="E218">
        <v>53.2667</v>
      </c>
      <c r="F218">
        <v>16.466699999999999</v>
      </c>
      <c r="G218" t="s">
        <v>22</v>
      </c>
      <c r="H218" t="s">
        <v>74</v>
      </c>
      <c r="I218" t="s">
        <v>388</v>
      </c>
      <c r="J218" t="s">
        <v>88</v>
      </c>
      <c r="K218">
        <v>6</v>
      </c>
      <c r="L218">
        <v>595</v>
      </c>
      <c r="M218">
        <v>3570</v>
      </c>
      <c r="N218" s="1" t="s">
        <v>76</v>
      </c>
      <c r="O218">
        <v>2018</v>
      </c>
      <c r="P218" t="s">
        <v>60</v>
      </c>
      <c r="Q218" t="s">
        <v>28</v>
      </c>
      <c r="R218" t="s">
        <v>29</v>
      </c>
    </row>
    <row r="219" spans="1:18" x14ac:dyDescent="0.25">
      <c r="A219" t="s">
        <v>18</v>
      </c>
      <c r="B219" t="s">
        <v>389</v>
      </c>
      <c r="C219" t="s">
        <v>390</v>
      </c>
      <c r="D219" s="1" t="s">
        <v>21</v>
      </c>
      <c r="E219">
        <v>53.313699999999997</v>
      </c>
      <c r="F219">
        <v>17.937000000000001</v>
      </c>
      <c r="G219" t="s">
        <v>22</v>
      </c>
      <c r="H219" t="s">
        <v>23</v>
      </c>
      <c r="I219" t="s">
        <v>391</v>
      </c>
      <c r="J219" t="s">
        <v>80</v>
      </c>
      <c r="K219">
        <v>10</v>
      </c>
      <c r="L219">
        <v>634</v>
      </c>
      <c r="M219">
        <v>6340</v>
      </c>
      <c r="N219" s="1" t="s">
        <v>26</v>
      </c>
      <c r="O219">
        <v>2018</v>
      </c>
      <c r="P219" t="s">
        <v>81</v>
      </c>
      <c r="Q219" t="s">
        <v>41</v>
      </c>
      <c r="R219" t="s">
        <v>42</v>
      </c>
    </row>
    <row r="220" spans="1:18" x14ac:dyDescent="0.25">
      <c r="A220" t="s">
        <v>18</v>
      </c>
      <c r="B220" t="s">
        <v>392</v>
      </c>
      <c r="C220" t="s">
        <v>620</v>
      </c>
      <c r="D220" s="1" t="s">
        <v>21</v>
      </c>
      <c r="E220">
        <v>53.0167</v>
      </c>
      <c r="F220">
        <v>18.616700000000002</v>
      </c>
      <c r="G220" t="s">
        <v>31</v>
      </c>
      <c r="H220" t="s">
        <v>32</v>
      </c>
      <c r="I220" t="s">
        <v>393</v>
      </c>
      <c r="J220" t="s">
        <v>117</v>
      </c>
      <c r="K220">
        <v>12</v>
      </c>
      <c r="L220">
        <v>474</v>
      </c>
      <c r="M220">
        <v>5688</v>
      </c>
      <c r="N220" s="1" t="s">
        <v>26</v>
      </c>
      <c r="O220">
        <v>2018</v>
      </c>
      <c r="P220" t="s">
        <v>66</v>
      </c>
      <c r="Q220" t="s">
        <v>67</v>
      </c>
      <c r="R220" t="s">
        <v>68</v>
      </c>
    </row>
    <row r="221" spans="1:18" x14ac:dyDescent="0.25">
      <c r="A221" t="s">
        <v>18</v>
      </c>
      <c r="B221" t="s">
        <v>394</v>
      </c>
      <c r="C221" t="s">
        <v>621</v>
      </c>
      <c r="D221" s="1" t="s">
        <v>21</v>
      </c>
      <c r="E221">
        <v>51.939700000000002</v>
      </c>
      <c r="F221">
        <v>15.505000000000001</v>
      </c>
      <c r="G221" t="s">
        <v>22</v>
      </c>
      <c r="H221" t="s">
        <v>74</v>
      </c>
      <c r="I221" t="s">
        <v>395</v>
      </c>
      <c r="J221" t="s">
        <v>34</v>
      </c>
      <c r="K221">
        <v>20</v>
      </c>
      <c r="L221">
        <v>33</v>
      </c>
      <c r="M221">
        <v>660</v>
      </c>
      <c r="N221" s="1" t="s">
        <v>386</v>
      </c>
      <c r="O221">
        <v>2018</v>
      </c>
      <c r="P221" t="s">
        <v>71</v>
      </c>
      <c r="Q221" t="s">
        <v>41</v>
      </c>
      <c r="R221" t="s">
        <v>42</v>
      </c>
    </row>
    <row r="222" spans="1:18" x14ac:dyDescent="0.25">
      <c r="A222" t="s">
        <v>18</v>
      </c>
      <c r="B222" t="s">
        <v>138</v>
      </c>
      <c r="C222" t="s">
        <v>563</v>
      </c>
      <c r="D222" s="1" t="s">
        <v>21</v>
      </c>
      <c r="E222">
        <v>53.2667</v>
      </c>
      <c r="F222">
        <v>16.466699999999999</v>
      </c>
      <c r="G222" t="s">
        <v>22</v>
      </c>
      <c r="H222" t="s">
        <v>74</v>
      </c>
      <c r="I222" t="s">
        <v>235</v>
      </c>
      <c r="J222" t="s">
        <v>88</v>
      </c>
      <c r="K222">
        <v>6</v>
      </c>
      <c r="L222">
        <v>385</v>
      </c>
      <c r="M222">
        <v>2310</v>
      </c>
      <c r="N222" s="1" t="s">
        <v>26</v>
      </c>
      <c r="O222">
        <v>2018</v>
      </c>
      <c r="P222" t="s">
        <v>50</v>
      </c>
      <c r="Q222" t="s">
        <v>28</v>
      </c>
      <c r="R222" t="s">
        <v>29</v>
      </c>
    </row>
    <row r="223" spans="1:18" x14ac:dyDescent="0.25">
      <c r="A223" t="s">
        <v>18</v>
      </c>
      <c r="B223" t="s">
        <v>371</v>
      </c>
      <c r="C223" t="s">
        <v>617</v>
      </c>
      <c r="D223" s="1" t="s">
        <v>21</v>
      </c>
      <c r="E223">
        <v>52.339500000000001</v>
      </c>
      <c r="F223">
        <v>21.195900000000002</v>
      </c>
      <c r="G223" t="s">
        <v>22</v>
      </c>
      <c r="H223" t="s">
        <v>74</v>
      </c>
      <c r="I223" t="s">
        <v>396</v>
      </c>
      <c r="J223" t="s">
        <v>45</v>
      </c>
      <c r="K223">
        <v>2</v>
      </c>
      <c r="L223">
        <v>578</v>
      </c>
      <c r="M223">
        <v>1156</v>
      </c>
      <c r="N223" s="1" t="s">
        <v>26</v>
      </c>
      <c r="O223">
        <v>2018</v>
      </c>
      <c r="P223" t="s">
        <v>106</v>
      </c>
      <c r="Q223" t="s">
        <v>67</v>
      </c>
      <c r="R223" t="s">
        <v>68</v>
      </c>
    </row>
    <row r="224" spans="1:18" x14ac:dyDescent="0.25">
      <c r="A224" t="s">
        <v>18</v>
      </c>
      <c r="B224" t="s">
        <v>343</v>
      </c>
      <c r="C224" t="s">
        <v>344</v>
      </c>
      <c r="D224" s="1" t="s">
        <v>21</v>
      </c>
      <c r="E224">
        <v>51.787700000000001</v>
      </c>
      <c r="F224">
        <v>14.9724</v>
      </c>
      <c r="G224" t="s">
        <v>22</v>
      </c>
      <c r="H224" t="s">
        <v>23</v>
      </c>
      <c r="I224" t="s">
        <v>397</v>
      </c>
      <c r="J224" t="s">
        <v>45</v>
      </c>
      <c r="K224">
        <v>2</v>
      </c>
      <c r="L224">
        <v>621</v>
      </c>
      <c r="M224">
        <v>1242</v>
      </c>
      <c r="N224" s="1" t="s">
        <v>26</v>
      </c>
      <c r="O224">
        <v>2018</v>
      </c>
      <c r="P224" t="s">
        <v>40</v>
      </c>
      <c r="Q224" t="s">
        <v>41</v>
      </c>
      <c r="R224" t="s">
        <v>42</v>
      </c>
    </row>
    <row r="225" spans="1:18" x14ac:dyDescent="0.25">
      <c r="A225" t="s">
        <v>18</v>
      </c>
      <c r="B225" t="s">
        <v>138</v>
      </c>
      <c r="C225" t="s">
        <v>563</v>
      </c>
      <c r="D225" s="1" t="s">
        <v>21</v>
      </c>
      <c r="E225">
        <v>53.2667</v>
      </c>
      <c r="F225">
        <v>16.466699999999999</v>
      </c>
      <c r="G225" t="s">
        <v>22</v>
      </c>
      <c r="H225" t="s">
        <v>74</v>
      </c>
      <c r="I225" t="s">
        <v>398</v>
      </c>
      <c r="J225" t="s">
        <v>117</v>
      </c>
      <c r="K225">
        <v>4</v>
      </c>
      <c r="L225">
        <v>409</v>
      </c>
      <c r="M225">
        <v>1636</v>
      </c>
      <c r="N225" s="1" t="s">
        <v>283</v>
      </c>
      <c r="O225">
        <v>2018</v>
      </c>
      <c r="P225" t="s">
        <v>50</v>
      </c>
      <c r="Q225" t="s">
        <v>28</v>
      </c>
      <c r="R225" t="s">
        <v>29</v>
      </c>
    </row>
    <row r="226" spans="1:18" x14ac:dyDescent="0.25">
      <c r="A226" t="s">
        <v>18</v>
      </c>
      <c r="B226" t="s">
        <v>206</v>
      </c>
      <c r="C226" t="s">
        <v>584</v>
      </c>
      <c r="D226" s="1" t="s">
        <v>21</v>
      </c>
      <c r="E226">
        <v>52.124299999999998</v>
      </c>
      <c r="F226">
        <v>20.665400000000002</v>
      </c>
      <c r="G226" t="s">
        <v>31</v>
      </c>
      <c r="H226" t="s">
        <v>32</v>
      </c>
      <c r="I226" t="s">
        <v>399</v>
      </c>
      <c r="J226" t="s">
        <v>34</v>
      </c>
      <c r="K226">
        <v>24</v>
      </c>
      <c r="L226">
        <v>688</v>
      </c>
      <c r="M226">
        <v>16512</v>
      </c>
      <c r="N226" s="1" t="s">
        <v>26</v>
      </c>
      <c r="O226">
        <v>2018</v>
      </c>
      <c r="P226" t="s">
        <v>35</v>
      </c>
      <c r="Q226" t="s">
        <v>28</v>
      </c>
      <c r="R226" t="s">
        <v>29</v>
      </c>
    </row>
    <row r="227" spans="1:18" x14ac:dyDescent="0.25">
      <c r="A227" t="s">
        <v>18</v>
      </c>
      <c r="B227" t="s">
        <v>400</v>
      </c>
      <c r="C227" t="s">
        <v>622</v>
      </c>
      <c r="D227" s="1" t="s">
        <v>21</v>
      </c>
      <c r="E227">
        <v>51.416600000000003</v>
      </c>
      <c r="F227">
        <v>21.9694</v>
      </c>
      <c r="G227" t="s">
        <v>22</v>
      </c>
      <c r="H227" t="s">
        <v>74</v>
      </c>
      <c r="I227" t="s">
        <v>219</v>
      </c>
      <c r="J227" t="s">
        <v>117</v>
      </c>
      <c r="K227">
        <v>2</v>
      </c>
      <c r="L227">
        <v>713</v>
      </c>
      <c r="M227">
        <v>1426</v>
      </c>
      <c r="N227" s="1" t="s">
        <v>314</v>
      </c>
      <c r="O227">
        <v>2018</v>
      </c>
      <c r="P227" t="s">
        <v>81</v>
      </c>
      <c r="Q227" t="s">
        <v>41</v>
      </c>
      <c r="R227" t="s">
        <v>42</v>
      </c>
    </row>
    <row r="228" spans="1:18" x14ac:dyDescent="0.25">
      <c r="A228" t="s">
        <v>18</v>
      </c>
      <c r="B228" t="s">
        <v>401</v>
      </c>
      <c r="C228" t="s">
        <v>623</v>
      </c>
      <c r="D228" s="1" t="s">
        <v>21</v>
      </c>
      <c r="E228">
        <v>54.006999999999998</v>
      </c>
      <c r="F228">
        <v>15.987500000000001</v>
      </c>
      <c r="G228" t="s">
        <v>22</v>
      </c>
      <c r="H228" t="s">
        <v>23</v>
      </c>
      <c r="I228" t="s">
        <v>402</v>
      </c>
      <c r="J228" t="s">
        <v>25</v>
      </c>
      <c r="K228">
        <v>4</v>
      </c>
      <c r="L228">
        <v>404</v>
      </c>
      <c r="M228">
        <v>1616</v>
      </c>
      <c r="N228" s="1" t="s">
        <v>26</v>
      </c>
      <c r="O228">
        <v>2018</v>
      </c>
      <c r="P228" t="s">
        <v>103</v>
      </c>
      <c r="Q228" t="s">
        <v>56</v>
      </c>
      <c r="R228" t="s">
        <v>57</v>
      </c>
    </row>
    <row r="229" spans="1:18" x14ac:dyDescent="0.25">
      <c r="A229" t="s">
        <v>18</v>
      </c>
      <c r="B229" t="s">
        <v>140</v>
      </c>
      <c r="C229" t="s">
        <v>564</v>
      </c>
      <c r="D229" s="1" t="s">
        <v>218</v>
      </c>
      <c r="E229">
        <v>49.882100000000001</v>
      </c>
      <c r="F229">
        <v>19.223299999999998</v>
      </c>
      <c r="G229" t="s">
        <v>31</v>
      </c>
      <c r="H229" t="s">
        <v>38</v>
      </c>
      <c r="I229" t="s">
        <v>325</v>
      </c>
      <c r="J229" t="s">
        <v>34</v>
      </c>
      <c r="K229">
        <v>1</v>
      </c>
      <c r="L229">
        <v>400</v>
      </c>
      <c r="M229">
        <v>400</v>
      </c>
      <c r="N229" s="1" t="s">
        <v>124</v>
      </c>
      <c r="O229">
        <v>2018</v>
      </c>
      <c r="P229" t="s">
        <v>81</v>
      </c>
      <c r="Q229" t="s">
        <v>41</v>
      </c>
      <c r="R229" t="s">
        <v>42</v>
      </c>
    </row>
    <row r="230" spans="1:18" x14ac:dyDescent="0.25">
      <c r="A230" t="s">
        <v>18</v>
      </c>
      <c r="B230" t="s">
        <v>140</v>
      </c>
      <c r="C230" t="s">
        <v>564</v>
      </c>
      <c r="D230" s="1" t="s">
        <v>21</v>
      </c>
      <c r="E230">
        <v>49.882100000000001</v>
      </c>
      <c r="F230">
        <v>19.223299999999998</v>
      </c>
      <c r="G230" t="s">
        <v>31</v>
      </c>
      <c r="H230" t="s">
        <v>38</v>
      </c>
      <c r="I230" t="s">
        <v>403</v>
      </c>
      <c r="J230" t="s">
        <v>88</v>
      </c>
      <c r="K230">
        <v>2</v>
      </c>
      <c r="L230">
        <v>585</v>
      </c>
      <c r="M230">
        <v>1170</v>
      </c>
      <c r="N230" s="1" t="s">
        <v>26</v>
      </c>
      <c r="O230">
        <v>2018</v>
      </c>
      <c r="P230" t="s">
        <v>40</v>
      </c>
      <c r="Q230" t="s">
        <v>41</v>
      </c>
      <c r="R230" t="s">
        <v>42</v>
      </c>
    </row>
    <row r="231" spans="1:18" x14ac:dyDescent="0.25">
      <c r="A231" t="s">
        <v>18</v>
      </c>
      <c r="B231" t="s">
        <v>236</v>
      </c>
      <c r="C231" t="s">
        <v>237</v>
      </c>
      <c r="D231" s="1" t="s">
        <v>21</v>
      </c>
      <c r="E231">
        <v>50.297600000000003</v>
      </c>
      <c r="F231">
        <v>18.676600000000001</v>
      </c>
      <c r="G231" t="s">
        <v>31</v>
      </c>
      <c r="H231" t="s">
        <v>32</v>
      </c>
      <c r="I231" t="s">
        <v>39</v>
      </c>
      <c r="J231" t="s">
        <v>34</v>
      </c>
      <c r="K231">
        <v>5</v>
      </c>
      <c r="L231">
        <v>66</v>
      </c>
      <c r="M231">
        <v>330</v>
      </c>
      <c r="N231" s="1" t="s">
        <v>26</v>
      </c>
      <c r="O231">
        <v>2018</v>
      </c>
      <c r="P231" t="s">
        <v>35</v>
      </c>
      <c r="Q231" t="s">
        <v>28</v>
      </c>
      <c r="R231" t="s">
        <v>29</v>
      </c>
    </row>
    <row r="232" spans="1:18" x14ac:dyDescent="0.25">
      <c r="A232" t="s">
        <v>18</v>
      </c>
      <c r="B232" t="s">
        <v>404</v>
      </c>
      <c r="C232" t="s">
        <v>405</v>
      </c>
      <c r="D232" s="1" t="s">
        <v>21</v>
      </c>
      <c r="E232">
        <v>50.283299999999997</v>
      </c>
      <c r="F232">
        <v>21.433299999999999</v>
      </c>
      <c r="G232" t="s">
        <v>22</v>
      </c>
      <c r="H232" t="s">
        <v>23</v>
      </c>
      <c r="I232" t="s">
        <v>361</v>
      </c>
      <c r="J232" t="s">
        <v>80</v>
      </c>
      <c r="K232">
        <v>10</v>
      </c>
      <c r="L232">
        <v>742</v>
      </c>
      <c r="M232">
        <v>7420</v>
      </c>
      <c r="N232" s="1" t="s">
        <v>26</v>
      </c>
      <c r="O232">
        <v>2018</v>
      </c>
      <c r="P232" t="s">
        <v>106</v>
      </c>
      <c r="Q232" t="s">
        <v>67</v>
      </c>
      <c r="R232" t="s">
        <v>68</v>
      </c>
    </row>
    <row r="233" spans="1:18" x14ac:dyDescent="0.25">
      <c r="A233" t="s">
        <v>18</v>
      </c>
      <c r="B233" t="s">
        <v>278</v>
      </c>
      <c r="C233" t="s">
        <v>279</v>
      </c>
      <c r="D233" s="1" t="s">
        <v>21</v>
      </c>
      <c r="E233">
        <v>51.152799999999999</v>
      </c>
      <c r="F233">
        <v>15</v>
      </c>
      <c r="G233" t="s">
        <v>31</v>
      </c>
      <c r="H233" t="s">
        <v>38</v>
      </c>
      <c r="I233" t="s">
        <v>406</v>
      </c>
      <c r="J233" t="s">
        <v>88</v>
      </c>
      <c r="K233">
        <v>20</v>
      </c>
      <c r="L233">
        <v>726</v>
      </c>
      <c r="M233">
        <v>14520</v>
      </c>
      <c r="N233" s="1" t="s">
        <v>26</v>
      </c>
      <c r="O233">
        <v>2018</v>
      </c>
      <c r="P233" t="s">
        <v>60</v>
      </c>
      <c r="Q233" t="s">
        <v>28</v>
      </c>
      <c r="R233" t="s">
        <v>29</v>
      </c>
    </row>
    <row r="234" spans="1:18" x14ac:dyDescent="0.25">
      <c r="A234" t="s">
        <v>18</v>
      </c>
      <c r="B234" t="s">
        <v>142</v>
      </c>
      <c r="C234" t="s">
        <v>565</v>
      </c>
      <c r="D234" s="1" t="s">
        <v>21</v>
      </c>
      <c r="E234">
        <v>50.8</v>
      </c>
      <c r="F234">
        <v>19.116700000000002</v>
      </c>
      <c r="G234" t="s">
        <v>31</v>
      </c>
      <c r="H234" t="s">
        <v>32</v>
      </c>
      <c r="I234" t="s">
        <v>407</v>
      </c>
      <c r="J234" t="s">
        <v>88</v>
      </c>
      <c r="K234">
        <v>5</v>
      </c>
      <c r="L234">
        <v>490</v>
      </c>
      <c r="M234">
        <v>2450</v>
      </c>
      <c r="N234" s="1" t="s">
        <v>26</v>
      </c>
      <c r="O234">
        <v>2018</v>
      </c>
      <c r="P234" t="s">
        <v>95</v>
      </c>
      <c r="Q234" t="s">
        <v>67</v>
      </c>
      <c r="R234" t="s">
        <v>68</v>
      </c>
    </row>
    <row r="235" spans="1:18" x14ac:dyDescent="0.25">
      <c r="A235" t="s">
        <v>18</v>
      </c>
      <c r="B235" t="s">
        <v>408</v>
      </c>
      <c r="C235" t="s">
        <v>409</v>
      </c>
      <c r="D235" s="1" t="s">
        <v>21</v>
      </c>
      <c r="E235">
        <v>54.028500000000001</v>
      </c>
      <c r="F235">
        <v>19.0444</v>
      </c>
      <c r="G235" t="s">
        <v>22</v>
      </c>
      <c r="H235" t="s">
        <v>23</v>
      </c>
      <c r="I235" t="s">
        <v>410</v>
      </c>
      <c r="J235" t="s">
        <v>117</v>
      </c>
      <c r="K235">
        <v>15</v>
      </c>
      <c r="L235">
        <v>516</v>
      </c>
      <c r="M235">
        <v>7740</v>
      </c>
      <c r="N235" s="1" t="s">
        <v>26</v>
      </c>
      <c r="O235">
        <v>2018</v>
      </c>
      <c r="P235" t="s">
        <v>55</v>
      </c>
      <c r="Q235" t="s">
        <v>56</v>
      </c>
      <c r="R235" t="s">
        <v>57</v>
      </c>
    </row>
    <row r="236" spans="1:18" x14ac:dyDescent="0.25">
      <c r="A236" t="s">
        <v>18</v>
      </c>
      <c r="B236" t="s">
        <v>404</v>
      </c>
      <c r="C236" t="s">
        <v>405</v>
      </c>
      <c r="D236" s="1" t="s">
        <v>21</v>
      </c>
      <c r="E236">
        <v>50.283299999999997</v>
      </c>
      <c r="F236">
        <v>21.433299999999999</v>
      </c>
      <c r="G236" t="s">
        <v>22</v>
      </c>
      <c r="H236" t="s">
        <v>23</v>
      </c>
      <c r="I236" t="s">
        <v>309</v>
      </c>
      <c r="J236" t="s">
        <v>88</v>
      </c>
      <c r="K236">
        <v>4</v>
      </c>
      <c r="L236">
        <v>141</v>
      </c>
      <c r="M236">
        <v>564</v>
      </c>
      <c r="N236" s="1" t="s">
        <v>26</v>
      </c>
      <c r="O236">
        <v>2018</v>
      </c>
      <c r="P236" t="s">
        <v>50</v>
      </c>
      <c r="Q236" t="s">
        <v>28</v>
      </c>
      <c r="R236" t="s">
        <v>29</v>
      </c>
    </row>
    <row r="237" spans="1:18" x14ac:dyDescent="0.25">
      <c r="A237" t="s">
        <v>18</v>
      </c>
      <c r="B237" t="s">
        <v>301</v>
      </c>
      <c r="C237" t="s">
        <v>605</v>
      </c>
      <c r="D237" s="1" t="s">
        <v>21</v>
      </c>
      <c r="E237">
        <v>49.5625</v>
      </c>
      <c r="F237">
        <v>20.636399999999998</v>
      </c>
      <c r="G237" t="s">
        <v>22</v>
      </c>
      <c r="H237" t="s">
        <v>23</v>
      </c>
      <c r="I237" t="s">
        <v>202</v>
      </c>
      <c r="J237" t="s">
        <v>34</v>
      </c>
      <c r="K237">
        <v>6</v>
      </c>
      <c r="L237">
        <v>497</v>
      </c>
      <c r="M237">
        <v>2982</v>
      </c>
      <c r="N237" s="1" t="s">
        <v>26</v>
      </c>
      <c r="O237">
        <v>2018</v>
      </c>
      <c r="P237" t="s">
        <v>81</v>
      </c>
      <c r="Q237" t="s">
        <v>41</v>
      </c>
      <c r="R237" t="s">
        <v>42</v>
      </c>
    </row>
    <row r="238" spans="1:18" x14ac:dyDescent="0.25">
      <c r="A238" t="s">
        <v>18</v>
      </c>
      <c r="B238" t="s">
        <v>86</v>
      </c>
      <c r="C238" t="s">
        <v>547</v>
      </c>
      <c r="D238" s="1" t="s">
        <v>21</v>
      </c>
      <c r="E238">
        <v>54.366700000000002</v>
      </c>
      <c r="F238">
        <v>18.633299999999998</v>
      </c>
      <c r="G238" t="s">
        <v>31</v>
      </c>
      <c r="H238" t="s">
        <v>32</v>
      </c>
      <c r="I238" t="s">
        <v>411</v>
      </c>
      <c r="J238" t="s">
        <v>80</v>
      </c>
      <c r="K238">
        <v>13</v>
      </c>
      <c r="L238">
        <v>469</v>
      </c>
      <c r="M238">
        <v>6097</v>
      </c>
      <c r="N238" s="1" t="s">
        <v>26</v>
      </c>
      <c r="O238">
        <v>2018</v>
      </c>
      <c r="P238" t="s">
        <v>103</v>
      </c>
      <c r="Q238" t="s">
        <v>56</v>
      </c>
      <c r="R238" t="s">
        <v>57</v>
      </c>
    </row>
    <row r="239" spans="1:18" x14ac:dyDescent="0.25">
      <c r="A239" t="s">
        <v>18</v>
      </c>
      <c r="B239" t="s">
        <v>412</v>
      </c>
      <c r="C239" t="s">
        <v>413</v>
      </c>
      <c r="D239" s="1" t="s">
        <v>21</v>
      </c>
      <c r="E239">
        <v>49.989400000000003</v>
      </c>
      <c r="F239">
        <v>20.066099999999999</v>
      </c>
      <c r="G239" t="s">
        <v>31</v>
      </c>
      <c r="H239" t="s">
        <v>38</v>
      </c>
      <c r="I239" t="s">
        <v>414</v>
      </c>
      <c r="J239" t="s">
        <v>117</v>
      </c>
      <c r="K239">
        <v>3</v>
      </c>
      <c r="L239">
        <v>262</v>
      </c>
      <c r="M239">
        <v>786</v>
      </c>
      <c r="N239" s="1" t="s">
        <v>26</v>
      </c>
      <c r="O239">
        <v>2018</v>
      </c>
      <c r="P239" t="s">
        <v>66</v>
      </c>
      <c r="Q239" t="s">
        <v>67</v>
      </c>
      <c r="R239" t="s">
        <v>68</v>
      </c>
    </row>
    <row r="240" spans="1:18" x14ac:dyDescent="0.25">
      <c r="A240" t="s">
        <v>18</v>
      </c>
      <c r="B240" t="s">
        <v>252</v>
      </c>
      <c r="C240" t="s">
        <v>594</v>
      </c>
      <c r="D240" s="1" t="s">
        <v>21</v>
      </c>
      <c r="E240">
        <v>50.6</v>
      </c>
      <c r="F240">
        <v>17.0444</v>
      </c>
      <c r="G240" t="s">
        <v>22</v>
      </c>
      <c r="H240" t="s">
        <v>74</v>
      </c>
      <c r="I240" t="s">
        <v>415</v>
      </c>
      <c r="J240" t="s">
        <v>45</v>
      </c>
      <c r="K240">
        <v>30</v>
      </c>
      <c r="L240">
        <v>64</v>
      </c>
      <c r="M240">
        <v>1920</v>
      </c>
      <c r="N240" s="1" t="s">
        <v>124</v>
      </c>
      <c r="O240">
        <v>2018</v>
      </c>
      <c r="P240" t="s">
        <v>95</v>
      </c>
      <c r="Q240" t="s">
        <v>67</v>
      </c>
      <c r="R240" t="s">
        <v>68</v>
      </c>
    </row>
    <row r="241" spans="1:18" x14ac:dyDescent="0.25">
      <c r="A241" t="s">
        <v>18</v>
      </c>
      <c r="B241" t="s">
        <v>257</v>
      </c>
      <c r="C241" t="s">
        <v>595</v>
      </c>
      <c r="D241" s="1" t="s">
        <v>21</v>
      </c>
      <c r="E241">
        <v>49.784999999999997</v>
      </c>
      <c r="F241">
        <v>22.767299999999999</v>
      </c>
      <c r="G241" t="s">
        <v>31</v>
      </c>
      <c r="H241" t="s">
        <v>38</v>
      </c>
      <c r="I241" t="s">
        <v>416</v>
      </c>
      <c r="J241" t="s">
        <v>80</v>
      </c>
      <c r="K241">
        <v>2</v>
      </c>
      <c r="L241">
        <v>518</v>
      </c>
      <c r="M241">
        <v>1036</v>
      </c>
      <c r="N241" s="1" t="s">
        <v>26</v>
      </c>
      <c r="O241">
        <v>2018</v>
      </c>
      <c r="P241" t="s">
        <v>106</v>
      </c>
      <c r="Q241" t="s">
        <v>67</v>
      </c>
      <c r="R241" t="s">
        <v>68</v>
      </c>
    </row>
    <row r="242" spans="1:18" x14ac:dyDescent="0.25">
      <c r="A242" t="s">
        <v>18</v>
      </c>
      <c r="B242" t="s">
        <v>136</v>
      </c>
      <c r="C242" t="s">
        <v>562</v>
      </c>
      <c r="D242" s="1" t="s">
        <v>21</v>
      </c>
      <c r="E242">
        <v>49.822499999999998</v>
      </c>
      <c r="F242">
        <v>19.0444</v>
      </c>
      <c r="G242" t="s">
        <v>31</v>
      </c>
      <c r="H242" t="s">
        <v>38</v>
      </c>
      <c r="I242" t="s">
        <v>410</v>
      </c>
      <c r="J242" t="s">
        <v>117</v>
      </c>
      <c r="K242">
        <v>5</v>
      </c>
      <c r="L242">
        <v>516</v>
      </c>
      <c r="M242">
        <v>2580</v>
      </c>
      <c r="N242" s="1" t="s">
        <v>26</v>
      </c>
      <c r="O242">
        <v>2018</v>
      </c>
      <c r="P242" t="s">
        <v>77</v>
      </c>
      <c r="Q242" t="s">
        <v>56</v>
      </c>
      <c r="R242" t="s">
        <v>57</v>
      </c>
    </row>
    <row r="243" spans="1:18" x14ac:dyDescent="0.25">
      <c r="A243" t="s">
        <v>18</v>
      </c>
      <c r="B243" t="s">
        <v>173</v>
      </c>
      <c r="C243" t="s">
        <v>576</v>
      </c>
      <c r="D243" s="1" t="s">
        <v>21</v>
      </c>
      <c r="E243">
        <v>53.916699999999999</v>
      </c>
      <c r="F243">
        <v>14.25</v>
      </c>
      <c r="G243" t="s">
        <v>22</v>
      </c>
      <c r="H243" t="s">
        <v>74</v>
      </c>
      <c r="I243" t="s">
        <v>377</v>
      </c>
      <c r="J243" t="s">
        <v>88</v>
      </c>
      <c r="K243">
        <v>5</v>
      </c>
      <c r="L243">
        <v>438</v>
      </c>
      <c r="M243">
        <v>2190</v>
      </c>
      <c r="N243" s="1" t="s">
        <v>314</v>
      </c>
      <c r="O243">
        <v>2018</v>
      </c>
      <c r="P243" t="s">
        <v>81</v>
      </c>
      <c r="Q243" t="s">
        <v>41</v>
      </c>
      <c r="R243" t="s">
        <v>42</v>
      </c>
    </row>
    <row r="244" spans="1:18" x14ac:dyDescent="0.25">
      <c r="A244" t="s">
        <v>18</v>
      </c>
      <c r="B244" t="s">
        <v>417</v>
      </c>
      <c r="C244" t="s">
        <v>418</v>
      </c>
      <c r="D244" s="1" t="s">
        <v>21</v>
      </c>
      <c r="E244">
        <v>51.697000000000003</v>
      </c>
      <c r="F244">
        <v>17.435700000000001</v>
      </c>
      <c r="G244" t="s">
        <v>31</v>
      </c>
      <c r="H244" t="s">
        <v>32</v>
      </c>
      <c r="I244" t="s">
        <v>197</v>
      </c>
      <c r="J244" t="s">
        <v>25</v>
      </c>
      <c r="K244">
        <v>2</v>
      </c>
      <c r="L244">
        <v>201</v>
      </c>
      <c r="M244">
        <v>402</v>
      </c>
      <c r="N244" s="1" t="s">
        <v>26</v>
      </c>
      <c r="O244">
        <v>2018</v>
      </c>
      <c r="P244" t="s">
        <v>95</v>
      </c>
      <c r="Q244" t="s">
        <v>67</v>
      </c>
      <c r="R244" t="s">
        <v>68</v>
      </c>
    </row>
    <row r="245" spans="1:18" x14ac:dyDescent="0.25">
      <c r="A245" t="s">
        <v>18</v>
      </c>
      <c r="B245" t="s">
        <v>323</v>
      </c>
      <c r="C245" t="s">
        <v>324</v>
      </c>
      <c r="D245" s="1" t="s">
        <v>21</v>
      </c>
      <c r="E245">
        <v>50.059100000000001</v>
      </c>
      <c r="F245">
        <v>22.4941</v>
      </c>
      <c r="G245" t="s">
        <v>31</v>
      </c>
      <c r="H245" t="s">
        <v>38</v>
      </c>
      <c r="I245" t="s">
        <v>197</v>
      </c>
      <c r="J245" t="s">
        <v>25</v>
      </c>
      <c r="K245">
        <v>2</v>
      </c>
      <c r="L245">
        <v>201</v>
      </c>
      <c r="M245">
        <v>402</v>
      </c>
      <c r="N245" s="1" t="s">
        <v>289</v>
      </c>
      <c r="O245">
        <v>2018</v>
      </c>
      <c r="P245" t="s">
        <v>71</v>
      </c>
      <c r="Q245" t="s">
        <v>41</v>
      </c>
      <c r="R245" t="s">
        <v>42</v>
      </c>
    </row>
    <row r="246" spans="1:18" x14ac:dyDescent="0.25">
      <c r="A246" t="s">
        <v>18</v>
      </c>
      <c r="B246" t="s">
        <v>419</v>
      </c>
      <c r="C246" t="s">
        <v>420</v>
      </c>
      <c r="D246" s="1" t="s">
        <v>21</v>
      </c>
      <c r="E246">
        <v>54.190300000000001</v>
      </c>
      <c r="F246">
        <v>16.181699999999999</v>
      </c>
      <c r="G246" t="s">
        <v>22</v>
      </c>
      <c r="H246" t="s">
        <v>23</v>
      </c>
      <c r="I246" t="s">
        <v>111</v>
      </c>
      <c r="J246" t="s">
        <v>34</v>
      </c>
      <c r="K246">
        <v>30</v>
      </c>
      <c r="L246">
        <v>215</v>
      </c>
      <c r="N246" s="1" t="s">
        <v>26</v>
      </c>
      <c r="O246">
        <v>2018</v>
      </c>
      <c r="P246" t="s">
        <v>66</v>
      </c>
      <c r="Q246" t="s">
        <v>67</v>
      </c>
      <c r="R246" t="s">
        <v>68</v>
      </c>
    </row>
    <row r="247" spans="1:18" x14ac:dyDescent="0.25">
      <c r="A247" t="s">
        <v>18</v>
      </c>
      <c r="B247" t="s">
        <v>206</v>
      </c>
      <c r="C247" t="s">
        <v>584</v>
      </c>
      <c r="D247" s="1" t="s">
        <v>21</v>
      </c>
      <c r="E247">
        <v>52.124299999999998</v>
      </c>
      <c r="F247">
        <v>20.665400000000002</v>
      </c>
      <c r="G247" t="s">
        <v>31</v>
      </c>
      <c r="H247" t="s">
        <v>32</v>
      </c>
      <c r="I247" t="s">
        <v>207</v>
      </c>
      <c r="J247" t="s">
        <v>45</v>
      </c>
      <c r="K247">
        <v>2</v>
      </c>
      <c r="L247">
        <v>624</v>
      </c>
      <c r="M247">
        <v>1248</v>
      </c>
      <c r="N247" s="1" t="s">
        <v>85</v>
      </c>
      <c r="O247">
        <v>2018</v>
      </c>
      <c r="P247" t="s">
        <v>103</v>
      </c>
      <c r="Q247" t="s">
        <v>56</v>
      </c>
      <c r="R247" t="s">
        <v>57</v>
      </c>
    </row>
    <row r="248" spans="1:18" x14ac:dyDescent="0.25">
      <c r="A248" t="s">
        <v>18</v>
      </c>
      <c r="B248" t="s">
        <v>58</v>
      </c>
      <c r="C248" t="s">
        <v>543</v>
      </c>
      <c r="D248" s="1" t="s">
        <v>21</v>
      </c>
      <c r="E248">
        <v>52.7958</v>
      </c>
      <c r="F248">
        <v>18.261099999999999</v>
      </c>
      <c r="G248" t="s">
        <v>31</v>
      </c>
      <c r="H248" t="s">
        <v>32</v>
      </c>
      <c r="I248" t="s">
        <v>330</v>
      </c>
      <c r="J248" t="s">
        <v>45</v>
      </c>
      <c r="K248">
        <v>5</v>
      </c>
      <c r="L248">
        <v>113</v>
      </c>
      <c r="M248">
        <v>565</v>
      </c>
      <c r="N248" s="1" t="s">
        <v>26</v>
      </c>
      <c r="O248">
        <v>2018</v>
      </c>
      <c r="P248" t="s">
        <v>50</v>
      </c>
      <c r="Q248" t="s">
        <v>28</v>
      </c>
      <c r="R248" t="s">
        <v>29</v>
      </c>
    </row>
    <row r="249" spans="1:18" x14ac:dyDescent="0.25">
      <c r="A249" t="s">
        <v>18</v>
      </c>
      <c r="B249" t="s">
        <v>421</v>
      </c>
      <c r="C249" t="s">
        <v>624</v>
      </c>
      <c r="D249" s="1" t="s">
        <v>21</v>
      </c>
      <c r="E249">
        <v>51.466700000000003</v>
      </c>
      <c r="F249">
        <v>22.6</v>
      </c>
      <c r="G249" t="s">
        <v>31</v>
      </c>
      <c r="H249" t="s">
        <v>38</v>
      </c>
      <c r="I249" t="s">
        <v>422</v>
      </c>
      <c r="J249" t="s">
        <v>25</v>
      </c>
      <c r="K249">
        <v>3</v>
      </c>
      <c r="L249">
        <v>542</v>
      </c>
      <c r="M249">
        <v>1626</v>
      </c>
      <c r="N249" s="1" t="s">
        <v>26</v>
      </c>
      <c r="O249">
        <v>2018</v>
      </c>
      <c r="P249" t="s">
        <v>35</v>
      </c>
      <c r="Q249" t="s">
        <v>28</v>
      </c>
      <c r="R249" t="s">
        <v>29</v>
      </c>
    </row>
    <row r="250" spans="1:18" x14ac:dyDescent="0.25">
      <c r="A250" t="s">
        <v>18</v>
      </c>
      <c r="B250" t="s">
        <v>337</v>
      </c>
      <c r="C250" t="s">
        <v>338</v>
      </c>
      <c r="D250" s="1" t="s">
        <v>21</v>
      </c>
      <c r="E250">
        <v>53.735799999999998</v>
      </c>
      <c r="F250">
        <v>18.930800000000001</v>
      </c>
      <c r="G250" t="s">
        <v>31</v>
      </c>
      <c r="H250" t="s">
        <v>38</v>
      </c>
      <c r="I250" t="s">
        <v>113</v>
      </c>
      <c r="J250" t="s">
        <v>80</v>
      </c>
      <c r="K250">
        <v>4</v>
      </c>
      <c r="L250">
        <v>689</v>
      </c>
      <c r="M250">
        <v>2756</v>
      </c>
      <c r="N250" s="1" t="s">
        <v>149</v>
      </c>
      <c r="O250">
        <v>2018</v>
      </c>
      <c r="P250" t="s">
        <v>77</v>
      </c>
      <c r="Q250" t="s">
        <v>56</v>
      </c>
      <c r="R250" t="s">
        <v>57</v>
      </c>
    </row>
    <row r="251" spans="1:18" x14ac:dyDescent="0.25">
      <c r="A251" t="s">
        <v>18</v>
      </c>
      <c r="B251" t="s">
        <v>423</v>
      </c>
      <c r="C251" t="s">
        <v>424</v>
      </c>
      <c r="D251" s="1" t="s">
        <v>21</v>
      </c>
      <c r="E251">
        <v>54.050400000000003</v>
      </c>
      <c r="F251">
        <v>21.145800000000001</v>
      </c>
      <c r="G251" t="s">
        <v>22</v>
      </c>
      <c r="H251" t="s">
        <v>74</v>
      </c>
      <c r="I251" t="s">
        <v>425</v>
      </c>
      <c r="J251" t="s">
        <v>45</v>
      </c>
      <c r="K251">
        <v>5</v>
      </c>
      <c r="L251">
        <v>345</v>
      </c>
      <c r="M251">
        <v>1725</v>
      </c>
      <c r="N251" s="1" t="s">
        <v>26</v>
      </c>
      <c r="O251">
        <v>2018</v>
      </c>
      <c r="P251" t="s">
        <v>81</v>
      </c>
      <c r="Q251" t="s">
        <v>41</v>
      </c>
      <c r="R251" t="s">
        <v>42</v>
      </c>
    </row>
    <row r="252" spans="1:18" x14ac:dyDescent="0.25">
      <c r="A252" t="s">
        <v>18</v>
      </c>
      <c r="B252" t="s">
        <v>244</v>
      </c>
      <c r="C252" t="s">
        <v>592</v>
      </c>
      <c r="D252" s="1" t="s">
        <v>21</v>
      </c>
      <c r="E252">
        <v>50.313099999999999</v>
      </c>
      <c r="F252">
        <v>17.374199999999998</v>
      </c>
      <c r="G252" t="s">
        <v>22</v>
      </c>
      <c r="H252" t="s">
        <v>74</v>
      </c>
      <c r="I252" t="s">
        <v>426</v>
      </c>
      <c r="J252" t="s">
        <v>34</v>
      </c>
      <c r="K252">
        <v>60</v>
      </c>
      <c r="L252">
        <v>153</v>
      </c>
      <c r="M252">
        <v>9180</v>
      </c>
      <c r="N252" s="1" t="s">
        <v>26</v>
      </c>
      <c r="O252">
        <v>2018</v>
      </c>
      <c r="P252" t="s">
        <v>71</v>
      </c>
      <c r="Q252" t="s">
        <v>41</v>
      </c>
      <c r="R252" t="s">
        <v>42</v>
      </c>
    </row>
    <row r="253" spans="1:18" x14ac:dyDescent="0.25">
      <c r="A253" t="s">
        <v>18</v>
      </c>
      <c r="B253" t="s">
        <v>412</v>
      </c>
      <c r="C253" t="s">
        <v>413</v>
      </c>
      <c r="D253" s="1" t="s">
        <v>21</v>
      </c>
      <c r="E253">
        <v>49.989400000000003</v>
      </c>
      <c r="F253">
        <v>20.066099999999999</v>
      </c>
      <c r="G253" t="s">
        <v>31</v>
      </c>
      <c r="H253" t="s">
        <v>38</v>
      </c>
      <c r="I253" t="s">
        <v>427</v>
      </c>
      <c r="J253" t="s">
        <v>117</v>
      </c>
      <c r="K253">
        <v>2</v>
      </c>
      <c r="L253">
        <v>710</v>
      </c>
      <c r="M253">
        <v>1420</v>
      </c>
      <c r="N253" s="1" t="s">
        <v>26</v>
      </c>
      <c r="O253">
        <v>2018</v>
      </c>
      <c r="P253" t="s">
        <v>50</v>
      </c>
      <c r="Q253" t="s">
        <v>28</v>
      </c>
      <c r="R253" t="s">
        <v>29</v>
      </c>
    </row>
    <row r="254" spans="1:18" x14ac:dyDescent="0.25">
      <c r="A254" t="s">
        <v>18</v>
      </c>
      <c r="B254" t="s">
        <v>428</v>
      </c>
      <c r="C254" t="s">
        <v>429</v>
      </c>
      <c r="D254" s="1" t="s">
        <v>21</v>
      </c>
      <c r="E254">
        <v>54</v>
      </c>
      <c r="F254">
        <v>16.9833</v>
      </c>
      <c r="G254" t="s">
        <v>22</v>
      </c>
      <c r="H254" t="s">
        <v>23</v>
      </c>
      <c r="I254" t="s">
        <v>121</v>
      </c>
      <c r="J254" t="s">
        <v>117</v>
      </c>
      <c r="K254">
        <v>4</v>
      </c>
      <c r="L254">
        <v>511</v>
      </c>
      <c r="M254">
        <v>2044</v>
      </c>
      <c r="N254" s="1" t="s">
        <v>26</v>
      </c>
      <c r="O254">
        <v>2018</v>
      </c>
      <c r="P254" t="s">
        <v>35</v>
      </c>
      <c r="Q254" t="s">
        <v>28</v>
      </c>
      <c r="R254" t="s">
        <v>29</v>
      </c>
    </row>
    <row r="255" spans="1:18" x14ac:dyDescent="0.25">
      <c r="A255" t="s">
        <v>18</v>
      </c>
      <c r="B255" t="s">
        <v>231</v>
      </c>
      <c r="C255" t="s">
        <v>590</v>
      </c>
      <c r="D255" s="1" t="s">
        <v>21</v>
      </c>
      <c r="E255">
        <v>52.253100000000003</v>
      </c>
      <c r="F255">
        <v>15.9178</v>
      </c>
      <c r="G255" t="s">
        <v>22</v>
      </c>
      <c r="H255" t="s">
        <v>23</v>
      </c>
      <c r="I255" t="s">
        <v>430</v>
      </c>
      <c r="J255" t="s">
        <v>117</v>
      </c>
      <c r="K255">
        <v>3</v>
      </c>
      <c r="L255">
        <v>74</v>
      </c>
      <c r="N255" s="1" t="s">
        <v>26</v>
      </c>
      <c r="O255">
        <v>2018</v>
      </c>
      <c r="P255" t="s">
        <v>27</v>
      </c>
      <c r="Q255" t="s">
        <v>28</v>
      </c>
      <c r="R255" t="s">
        <v>29</v>
      </c>
    </row>
    <row r="256" spans="1:18" x14ac:dyDescent="0.25">
      <c r="A256" t="s">
        <v>18</v>
      </c>
      <c r="B256" t="s">
        <v>248</v>
      </c>
      <c r="C256" t="s">
        <v>593</v>
      </c>
      <c r="D256" s="1" t="s">
        <v>21</v>
      </c>
      <c r="E256">
        <v>53.816699999999997</v>
      </c>
      <c r="F256">
        <v>22.35</v>
      </c>
      <c r="G256" t="s">
        <v>31</v>
      </c>
      <c r="H256" t="s">
        <v>32</v>
      </c>
      <c r="I256" t="s">
        <v>342</v>
      </c>
      <c r="J256" t="s">
        <v>45</v>
      </c>
      <c r="K256">
        <v>4</v>
      </c>
      <c r="L256">
        <v>445</v>
      </c>
      <c r="M256">
        <v>1780</v>
      </c>
      <c r="N256" s="1" t="s">
        <v>49</v>
      </c>
      <c r="O256">
        <v>2018</v>
      </c>
      <c r="P256" t="s">
        <v>66</v>
      </c>
      <c r="Q256" t="s">
        <v>67</v>
      </c>
      <c r="R256" t="s">
        <v>68</v>
      </c>
    </row>
    <row r="257" spans="1:18" x14ac:dyDescent="0.25">
      <c r="A257" t="s">
        <v>18</v>
      </c>
      <c r="B257" t="s">
        <v>323</v>
      </c>
      <c r="C257" t="s">
        <v>324</v>
      </c>
      <c r="D257" s="1" t="s">
        <v>21</v>
      </c>
      <c r="E257">
        <v>50.059100000000001</v>
      </c>
      <c r="F257">
        <v>22.4941</v>
      </c>
      <c r="G257" t="s">
        <v>31</v>
      </c>
      <c r="H257" t="s">
        <v>38</v>
      </c>
      <c r="I257" t="s">
        <v>431</v>
      </c>
      <c r="J257" t="s">
        <v>117</v>
      </c>
      <c r="K257">
        <v>2</v>
      </c>
      <c r="L257">
        <v>705</v>
      </c>
      <c r="M257">
        <v>1410</v>
      </c>
      <c r="N257" s="1" t="s">
        <v>156</v>
      </c>
      <c r="O257">
        <v>2018</v>
      </c>
      <c r="P257" t="s">
        <v>77</v>
      </c>
      <c r="Q257" t="s">
        <v>56</v>
      </c>
      <c r="R257" t="s">
        <v>57</v>
      </c>
    </row>
    <row r="258" spans="1:18" x14ac:dyDescent="0.25">
      <c r="A258" t="s">
        <v>18</v>
      </c>
      <c r="B258" t="s">
        <v>408</v>
      </c>
      <c r="C258" t="s">
        <v>409</v>
      </c>
      <c r="D258" s="1" t="s">
        <v>21</v>
      </c>
      <c r="E258">
        <v>54.028500000000001</v>
      </c>
      <c r="F258">
        <v>19.0444</v>
      </c>
      <c r="G258" t="s">
        <v>22</v>
      </c>
      <c r="H258" t="s">
        <v>23</v>
      </c>
      <c r="I258" t="s">
        <v>432</v>
      </c>
      <c r="J258" t="s">
        <v>34</v>
      </c>
      <c r="K258">
        <v>2</v>
      </c>
      <c r="L258">
        <v>450</v>
      </c>
      <c r="M258">
        <v>900</v>
      </c>
      <c r="N258" s="1" t="s">
        <v>26</v>
      </c>
      <c r="O258">
        <v>2018</v>
      </c>
      <c r="P258" t="s">
        <v>66</v>
      </c>
      <c r="Q258" t="s">
        <v>67</v>
      </c>
      <c r="R258" t="s">
        <v>68</v>
      </c>
    </row>
    <row r="259" spans="1:18" x14ac:dyDescent="0.25">
      <c r="A259" t="s">
        <v>18</v>
      </c>
      <c r="B259" t="s">
        <v>297</v>
      </c>
      <c r="C259" t="s">
        <v>604</v>
      </c>
      <c r="D259" s="1" t="s">
        <v>21</v>
      </c>
      <c r="E259">
        <v>52.083300000000001</v>
      </c>
      <c r="F259">
        <v>16.649999999999999</v>
      </c>
      <c r="G259" t="s">
        <v>22</v>
      </c>
      <c r="H259" t="s">
        <v>23</v>
      </c>
      <c r="I259" t="s">
        <v>433</v>
      </c>
      <c r="J259" t="s">
        <v>25</v>
      </c>
      <c r="K259">
        <v>4</v>
      </c>
      <c r="L259">
        <v>115</v>
      </c>
      <c r="N259" s="1" t="s">
        <v>26</v>
      </c>
      <c r="O259">
        <v>2018</v>
      </c>
      <c r="P259" t="s">
        <v>103</v>
      </c>
      <c r="Q259" t="s">
        <v>56</v>
      </c>
      <c r="R259" t="s">
        <v>57</v>
      </c>
    </row>
    <row r="260" spans="1:18" x14ac:dyDescent="0.25">
      <c r="A260" t="s">
        <v>18</v>
      </c>
      <c r="B260" t="s">
        <v>434</v>
      </c>
      <c r="C260" t="s">
        <v>625</v>
      </c>
      <c r="D260" s="1" t="s">
        <v>21</v>
      </c>
      <c r="E260">
        <v>50.687399999999997</v>
      </c>
      <c r="F260">
        <v>16.371700000000001</v>
      </c>
      <c r="G260" t="s">
        <v>31</v>
      </c>
      <c r="H260" t="s">
        <v>32</v>
      </c>
      <c r="I260" t="s">
        <v>435</v>
      </c>
      <c r="J260" t="s">
        <v>80</v>
      </c>
      <c r="K260">
        <v>3</v>
      </c>
      <c r="L260">
        <v>445</v>
      </c>
      <c r="N260" s="1" t="s">
        <v>26</v>
      </c>
      <c r="O260">
        <v>2018</v>
      </c>
      <c r="P260" t="s">
        <v>81</v>
      </c>
      <c r="Q260" t="s">
        <v>41</v>
      </c>
      <c r="R260" t="s">
        <v>42</v>
      </c>
    </row>
    <row r="261" spans="1:18" x14ac:dyDescent="0.25">
      <c r="A261" t="s">
        <v>18</v>
      </c>
      <c r="B261" t="s">
        <v>243</v>
      </c>
      <c r="C261" t="s">
        <v>591</v>
      </c>
      <c r="D261" s="1" t="s">
        <v>21</v>
      </c>
      <c r="E261">
        <v>53.349200000000003</v>
      </c>
      <c r="F261">
        <v>18.426100000000002</v>
      </c>
      <c r="G261" t="s">
        <v>22</v>
      </c>
      <c r="H261" t="s">
        <v>23</v>
      </c>
      <c r="I261" t="s">
        <v>170</v>
      </c>
      <c r="J261" t="s">
        <v>25</v>
      </c>
      <c r="K261">
        <v>30</v>
      </c>
      <c r="L261">
        <v>99</v>
      </c>
      <c r="N261" s="1" t="s">
        <v>26</v>
      </c>
      <c r="O261">
        <v>2018</v>
      </c>
      <c r="P261" t="s">
        <v>81</v>
      </c>
      <c r="Q261" t="s">
        <v>41</v>
      </c>
      <c r="R261" t="s">
        <v>42</v>
      </c>
    </row>
    <row r="262" spans="1:18" x14ac:dyDescent="0.25">
      <c r="A262" t="s">
        <v>18</v>
      </c>
      <c r="B262" t="s">
        <v>383</v>
      </c>
      <c r="C262" t="s">
        <v>384</v>
      </c>
      <c r="D262" s="1" t="s">
        <v>21</v>
      </c>
      <c r="E262">
        <v>54.518900000000002</v>
      </c>
      <c r="F262">
        <v>18.5319</v>
      </c>
      <c r="G262" t="s">
        <v>31</v>
      </c>
      <c r="H262" t="s">
        <v>32</v>
      </c>
      <c r="I262" t="s">
        <v>65</v>
      </c>
      <c r="J262" t="s">
        <v>25</v>
      </c>
      <c r="K262">
        <v>6</v>
      </c>
      <c r="L262">
        <v>551</v>
      </c>
      <c r="N262" s="1" t="s">
        <v>26</v>
      </c>
      <c r="O262">
        <v>2018</v>
      </c>
      <c r="P262" t="s">
        <v>106</v>
      </c>
      <c r="Q262" t="s">
        <v>67</v>
      </c>
      <c r="R262" t="s">
        <v>68</v>
      </c>
    </row>
    <row r="263" spans="1:18" x14ac:dyDescent="0.25">
      <c r="A263" t="s">
        <v>18</v>
      </c>
      <c r="B263" t="s">
        <v>363</v>
      </c>
      <c r="C263" t="s">
        <v>364</v>
      </c>
      <c r="D263" s="1" t="s">
        <v>21</v>
      </c>
      <c r="E263">
        <v>50</v>
      </c>
      <c r="F263">
        <v>19.149999999999999</v>
      </c>
      <c r="G263" t="s">
        <v>22</v>
      </c>
      <c r="H263" t="s">
        <v>23</v>
      </c>
      <c r="I263" t="s">
        <v>79</v>
      </c>
      <c r="J263" t="s">
        <v>80</v>
      </c>
      <c r="K263">
        <v>5</v>
      </c>
      <c r="L263">
        <v>249</v>
      </c>
      <c r="N263" s="1" t="s">
        <v>26</v>
      </c>
      <c r="O263">
        <v>2018</v>
      </c>
      <c r="P263" t="s">
        <v>106</v>
      </c>
      <c r="Q263" t="s">
        <v>67</v>
      </c>
      <c r="R263" t="s">
        <v>68</v>
      </c>
    </row>
    <row r="264" spans="1:18" x14ac:dyDescent="0.25">
      <c r="A264" t="s">
        <v>18</v>
      </c>
      <c r="B264" t="s">
        <v>36</v>
      </c>
      <c r="C264" t="s">
        <v>37</v>
      </c>
      <c r="D264" s="1" t="s">
        <v>21</v>
      </c>
      <c r="E264">
        <v>50.083300000000001</v>
      </c>
      <c r="F264">
        <v>18.5</v>
      </c>
      <c r="G264" t="s">
        <v>31</v>
      </c>
      <c r="H264" t="s">
        <v>38</v>
      </c>
      <c r="I264" t="s">
        <v>97</v>
      </c>
      <c r="J264" t="s">
        <v>80</v>
      </c>
      <c r="K264">
        <v>5</v>
      </c>
      <c r="L264">
        <v>288</v>
      </c>
      <c r="N264" s="1" t="s">
        <v>26</v>
      </c>
      <c r="O264">
        <v>2018</v>
      </c>
      <c r="P264" t="s">
        <v>77</v>
      </c>
      <c r="Q264" t="s">
        <v>56</v>
      </c>
      <c r="R264" t="s">
        <v>57</v>
      </c>
    </row>
    <row r="265" spans="1:18" x14ac:dyDescent="0.25">
      <c r="A265" t="s">
        <v>18</v>
      </c>
      <c r="B265" t="s">
        <v>436</v>
      </c>
      <c r="C265" t="s">
        <v>626</v>
      </c>
      <c r="D265" s="1" t="s">
        <v>21</v>
      </c>
      <c r="E265">
        <v>54.55</v>
      </c>
      <c r="F265">
        <v>17.75</v>
      </c>
      <c r="G265" t="s">
        <v>22</v>
      </c>
      <c r="H265" t="s">
        <v>23</v>
      </c>
      <c r="I265" t="s">
        <v>315</v>
      </c>
      <c r="J265" t="s">
        <v>25</v>
      </c>
      <c r="K265">
        <v>1</v>
      </c>
      <c r="L265">
        <v>334</v>
      </c>
      <c r="N265" s="1" t="s">
        <v>26</v>
      </c>
      <c r="O265">
        <v>2018</v>
      </c>
      <c r="P265" t="s">
        <v>71</v>
      </c>
      <c r="Q265" t="s">
        <v>41</v>
      </c>
      <c r="R265" t="s">
        <v>42</v>
      </c>
    </row>
    <row r="266" spans="1:18" x14ac:dyDescent="0.25">
      <c r="A266" t="s">
        <v>18</v>
      </c>
      <c r="B266" t="s">
        <v>311</v>
      </c>
      <c r="C266" t="s">
        <v>312</v>
      </c>
      <c r="D266" s="1" t="s">
        <v>21</v>
      </c>
      <c r="E266">
        <v>49.9833</v>
      </c>
      <c r="F266">
        <v>20.433299999999999</v>
      </c>
      <c r="G266" t="s">
        <v>31</v>
      </c>
      <c r="H266" t="s">
        <v>38</v>
      </c>
      <c r="I266" t="s">
        <v>437</v>
      </c>
      <c r="J266" t="s">
        <v>80</v>
      </c>
      <c r="K266">
        <v>2</v>
      </c>
      <c r="L266">
        <v>47</v>
      </c>
      <c r="N266" s="1" t="s">
        <v>26</v>
      </c>
      <c r="O266">
        <v>2018</v>
      </c>
      <c r="P266" t="s">
        <v>60</v>
      </c>
      <c r="Q266" t="s">
        <v>28</v>
      </c>
      <c r="R266" t="s">
        <v>29</v>
      </c>
    </row>
    <row r="267" spans="1:18" x14ac:dyDescent="0.25">
      <c r="A267" t="s">
        <v>18</v>
      </c>
      <c r="B267" t="s">
        <v>298</v>
      </c>
      <c r="C267" t="s">
        <v>299</v>
      </c>
      <c r="D267" s="1" t="s">
        <v>21</v>
      </c>
      <c r="E267">
        <v>50.872500000000002</v>
      </c>
      <c r="F267">
        <v>20.631900000000002</v>
      </c>
      <c r="G267" t="s">
        <v>31</v>
      </c>
      <c r="H267" t="s">
        <v>38</v>
      </c>
      <c r="I267" t="s">
        <v>75</v>
      </c>
      <c r="J267" t="s">
        <v>25</v>
      </c>
      <c r="K267">
        <v>5</v>
      </c>
      <c r="L267">
        <v>762</v>
      </c>
      <c r="N267" s="1" t="s">
        <v>26</v>
      </c>
      <c r="O267">
        <v>2018</v>
      </c>
      <c r="P267" t="s">
        <v>50</v>
      </c>
      <c r="Q267" t="s">
        <v>28</v>
      </c>
      <c r="R267" t="s">
        <v>29</v>
      </c>
    </row>
    <row r="268" spans="1:18" x14ac:dyDescent="0.25">
      <c r="A268" t="s">
        <v>18</v>
      </c>
      <c r="B268" t="s">
        <v>120</v>
      </c>
      <c r="C268" t="s">
        <v>559</v>
      </c>
      <c r="D268" s="1" t="s">
        <v>21</v>
      </c>
      <c r="E268">
        <v>50.1556</v>
      </c>
      <c r="F268">
        <v>23.123000000000001</v>
      </c>
      <c r="G268" t="s">
        <v>31</v>
      </c>
      <c r="H268" t="s">
        <v>38</v>
      </c>
      <c r="I268" t="s">
        <v>202</v>
      </c>
      <c r="J268" t="s">
        <v>34</v>
      </c>
      <c r="K268">
        <v>6</v>
      </c>
      <c r="L268">
        <v>497</v>
      </c>
      <c r="N268" s="1" t="s">
        <v>26</v>
      </c>
      <c r="O268">
        <v>2018</v>
      </c>
      <c r="P268" t="s">
        <v>66</v>
      </c>
      <c r="Q268" t="s">
        <v>67</v>
      </c>
      <c r="R268" t="s">
        <v>68</v>
      </c>
    </row>
    <row r="269" spans="1:18" x14ac:dyDescent="0.25">
      <c r="A269" t="s">
        <v>18</v>
      </c>
      <c r="B269" t="s">
        <v>260</v>
      </c>
      <c r="C269" t="s">
        <v>261</v>
      </c>
      <c r="D269" s="1" t="s">
        <v>21</v>
      </c>
      <c r="E269">
        <v>54.566699999999997</v>
      </c>
      <c r="F269">
        <v>18.399999999999999</v>
      </c>
      <c r="G269" t="s">
        <v>31</v>
      </c>
      <c r="H269" t="s">
        <v>32</v>
      </c>
      <c r="I269" t="s">
        <v>262</v>
      </c>
      <c r="J269" t="s">
        <v>80</v>
      </c>
      <c r="K269">
        <v>6</v>
      </c>
      <c r="L269">
        <v>655</v>
      </c>
      <c r="M269">
        <v>3930</v>
      </c>
      <c r="N269" s="1" t="s">
        <v>26</v>
      </c>
      <c r="O269">
        <v>2018</v>
      </c>
      <c r="P269" t="s">
        <v>81</v>
      </c>
      <c r="Q269" t="s">
        <v>41</v>
      </c>
      <c r="R269" t="s">
        <v>42</v>
      </c>
    </row>
    <row r="270" spans="1:18" x14ac:dyDescent="0.25">
      <c r="A270" t="s">
        <v>18</v>
      </c>
      <c r="B270" t="s">
        <v>91</v>
      </c>
      <c r="C270" t="s">
        <v>549</v>
      </c>
      <c r="D270" s="1" t="s">
        <v>21</v>
      </c>
      <c r="E270">
        <v>50.15</v>
      </c>
      <c r="F270">
        <v>18.833300000000001</v>
      </c>
      <c r="G270" t="s">
        <v>22</v>
      </c>
      <c r="H270" t="s">
        <v>23</v>
      </c>
      <c r="I270" t="s">
        <v>355</v>
      </c>
      <c r="J270" t="s">
        <v>117</v>
      </c>
      <c r="K270">
        <v>5</v>
      </c>
      <c r="L270">
        <v>420</v>
      </c>
      <c r="M270">
        <v>2100</v>
      </c>
      <c r="N270" s="1" t="s">
        <v>26</v>
      </c>
      <c r="O270">
        <v>2018</v>
      </c>
      <c r="P270" t="s">
        <v>35</v>
      </c>
      <c r="Q270" t="s">
        <v>28</v>
      </c>
      <c r="R270" t="s">
        <v>29</v>
      </c>
    </row>
    <row r="271" spans="1:18" x14ac:dyDescent="0.25">
      <c r="A271" t="s">
        <v>18</v>
      </c>
      <c r="B271" t="s">
        <v>273</v>
      </c>
      <c r="C271" t="s">
        <v>274</v>
      </c>
      <c r="D271" s="1" t="s">
        <v>21</v>
      </c>
      <c r="E271">
        <v>52.7667</v>
      </c>
      <c r="F271">
        <v>23.2</v>
      </c>
      <c r="G271" t="s">
        <v>22</v>
      </c>
      <c r="H271" t="s">
        <v>74</v>
      </c>
      <c r="I271" t="s">
        <v>131</v>
      </c>
      <c r="J271" t="s">
        <v>117</v>
      </c>
      <c r="K271">
        <v>3</v>
      </c>
      <c r="L271">
        <v>164</v>
      </c>
      <c r="M271">
        <v>492</v>
      </c>
      <c r="N271" s="1" t="s">
        <v>26</v>
      </c>
      <c r="O271">
        <v>2018</v>
      </c>
      <c r="P271" t="s">
        <v>71</v>
      </c>
      <c r="Q271" t="s">
        <v>41</v>
      </c>
      <c r="R271" t="s">
        <v>42</v>
      </c>
    </row>
    <row r="272" spans="1:18" x14ac:dyDescent="0.25">
      <c r="A272" t="s">
        <v>18</v>
      </c>
      <c r="B272" t="s">
        <v>86</v>
      </c>
      <c r="C272" t="s">
        <v>547</v>
      </c>
      <c r="D272" s="1" t="s">
        <v>21</v>
      </c>
      <c r="E272">
        <v>54.366700000000002</v>
      </c>
      <c r="F272">
        <v>18.633299999999998</v>
      </c>
      <c r="G272" t="s">
        <v>31</v>
      </c>
      <c r="H272" t="s">
        <v>32</v>
      </c>
      <c r="I272" t="s">
        <v>307</v>
      </c>
      <c r="J272" t="s">
        <v>80</v>
      </c>
      <c r="K272">
        <v>5</v>
      </c>
      <c r="L272">
        <v>535</v>
      </c>
      <c r="M272">
        <v>2675</v>
      </c>
      <c r="N272" s="1" t="s">
        <v>26</v>
      </c>
      <c r="O272">
        <v>2018</v>
      </c>
      <c r="P272" t="s">
        <v>66</v>
      </c>
      <c r="Q272" t="s">
        <v>67</v>
      </c>
      <c r="R272" t="s">
        <v>68</v>
      </c>
    </row>
    <row r="273" spans="1:18" x14ac:dyDescent="0.25">
      <c r="A273" t="s">
        <v>18</v>
      </c>
      <c r="B273" t="s">
        <v>304</v>
      </c>
      <c r="C273" t="s">
        <v>606</v>
      </c>
      <c r="D273" s="1" t="s">
        <v>21</v>
      </c>
      <c r="E273">
        <v>51.8</v>
      </c>
      <c r="F273">
        <v>15.716699999999999</v>
      </c>
      <c r="G273" t="s">
        <v>31</v>
      </c>
      <c r="H273" t="s">
        <v>38</v>
      </c>
      <c r="I273" t="s">
        <v>438</v>
      </c>
      <c r="J273" t="s">
        <v>117</v>
      </c>
      <c r="K273">
        <v>1</v>
      </c>
      <c r="L273">
        <v>104</v>
      </c>
      <c r="M273">
        <v>104</v>
      </c>
      <c r="N273" s="1" t="s">
        <v>26</v>
      </c>
      <c r="O273">
        <v>2018</v>
      </c>
      <c r="P273" t="s">
        <v>66</v>
      </c>
      <c r="Q273" t="s">
        <v>67</v>
      </c>
      <c r="R273" t="s">
        <v>68</v>
      </c>
    </row>
    <row r="274" spans="1:18" x14ac:dyDescent="0.25">
      <c r="A274" t="s">
        <v>18</v>
      </c>
      <c r="B274" t="s">
        <v>263</v>
      </c>
      <c r="C274" t="s">
        <v>264</v>
      </c>
      <c r="D274" s="1" t="s">
        <v>21</v>
      </c>
      <c r="E274">
        <v>52.2333</v>
      </c>
      <c r="F274">
        <v>19.366700000000002</v>
      </c>
      <c r="G274" t="s">
        <v>31</v>
      </c>
      <c r="H274" t="s">
        <v>32</v>
      </c>
      <c r="I274" t="s">
        <v>368</v>
      </c>
      <c r="J274" t="s">
        <v>117</v>
      </c>
      <c r="K274">
        <v>3</v>
      </c>
      <c r="L274">
        <v>377</v>
      </c>
      <c r="N274" s="1" t="s">
        <v>26</v>
      </c>
      <c r="O274">
        <v>2018</v>
      </c>
      <c r="P274" t="s">
        <v>40</v>
      </c>
      <c r="Q274" t="s">
        <v>41</v>
      </c>
      <c r="R274" t="s">
        <v>42</v>
      </c>
    </row>
    <row r="275" spans="1:18" x14ac:dyDescent="0.25">
      <c r="A275" t="s">
        <v>18</v>
      </c>
      <c r="B275" t="s">
        <v>439</v>
      </c>
      <c r="C275" t="s">
        <v>627</v>
      </c>
      <c r="D275" s="1" t="s">
        <v>21</v>
      </c>
      <c r="E275">
        <v>50.200899999999997</v>
      </c>
      <c r="F275">
        <v>17.828600000000002</v>
      </c>
      <c r="G275" t="s">
        <v>31</v>
      </c>
      <c r="H275" t="s">
        <v>38</v>
      </c>
      <c r="I275" t="s">
        <v>440</v>
      </c>
      <c r="J275" t="s">
        <v>117</v>
      </c>
      <c r="K275">
        <v>1</v>
      </c>
      <c r="L275">
        <v>402</v>
      </c>
      <c r="M275">
        <v>402</v>
      </c>
      <c r="N275" s="1" t="s">
        <v>26</v>
      </c>
      <c r="O275">
        <v>2018</v>
      </c>
      <c r="P275" t="s">
        <v>40</v>
      </c>
      <c r="Q275" t="s">
        <v>41</v>
      </c>
      <c r="R275" t="s">
        <v>42</v>
      </c>
    </row>
    <row r="276" spans="1:18" x14ac:dyDescent="0.25">
      <c r="A276" t="s">
        <v>18</v>
      </c>
      <c r="B276" t="s">
        <v>380</v>
      </c>
      <c r="C276" t="s">
        <v>381</v>
      </c>
      <c r="D276" s="1" t="s">
        <v>21</v>
      </c>
      <c r="E276">
        <v>51.273000000000003</v>
      </c>
      <c r="F276">
        <v>16.708100000000002</v>
      </c>
      <c r="G276" t="s">
        <v>22</v>
      </c>
      <c r="H276" t="s">
        <v>23</v>
      </c>
      <c r="I276" t="s">
        <v>39</v>
      </c>
      <c r="J276" t="s">
        <v>34</v>
      </c>
      <c r="K276">
        <v>2</v>
      </c>
      <c r="L276">
        <v>66</v>
      </c>
      <c r="M276">
        <v>132</v>
      </c>
      <c r="N276" s="1" t="s">
        <v>26</v>
      </c>
      <c r="O276">
        <v>2018</v>
      </c>
      <c r="P276" t="s">
        <v>35</v>
      </c>
      <c r="Q276" t="s">
        <v>28</v>
      </c>
      <c r="R276" t="s">
        <v>29</v>
      </c>
    </row>
    <row r="277" spans="1:18" x14ac:dyDescent="0.25">
      <c r="A277" t="s">
        <v>18</v>
      </c>
      <c r="B277" t="s">
        <v>150</v>
      </c>
      <c r="C277" t="s">
        <v>569</v>
      </c>
      <c r="D277" s="1" t="s">
        <v>21</v>
      </c>
      <c r="E277">
        <v>54.166699999999999</v>
      </c>
      <c r="F277">
        <v>19.399999999999999</v>
      </c>
      <c r="G277" t="s">
        <v>31</v>
      </c>
      <c r="H277" t="s">
        <v>38</v>
      </c>
      <c r="I277" t="s">
        <v>251</v>
      </c>
      <c r="J277" t="s">
        <v>80</v>
      </c>
      <c r="K277">
        <v>6</v>
      </c>
      <c r="L277">
        <v>647</v>
      </c>
      <c r="M277">
        <v>3882</v>
      </c>
      <c r="N277" s="1" t="s">
        <v>26</v>
      </c>
      <c r="O277">
        <v>2018</v>
      </c>
      <c r="P277" t="s">
        <v>103</v>
      </c>
      <c r="Q277" t="s">
        <v>56</v>
      </c>
      <c r="R277" t="s">
        <v>57</v>
      </c>
    </row>
    <row r="278" spans="1:18" x14ac:dyDescent="0.25">
      <c r="A278" t="s">
        <v>18</v>
      </c>
      <c r="B278" t="s">
        <v>114</v>
      </c>
      <c r="C278" t="s">
        <v>556</v>
      </c>
      <c r="D278" s="1" t="s">
        <v>21</v>
      </c>
      <c r="E278">
        <v>52.183300000000003</v>
      </c>
      <c r="F278">
        <v>20.85</v>
      </c>
      <c r="G278" t="s">
        <v>22</v>
      </c>
      <c r="H278" t="s">
        <v>23</v>
      </c>
      <c r="I278" t="s">
        <v>441</v>
      </c>
      <c r="J278" t="s">
        <v>88</v>
      </c>
      <c r="K278">
        <v>2</v>
      </c>
      <c r="L278">
        <v>487</v>
      </c>
      <c r="M278">
        <v>974</v>
      </c>
      <c r="N278" s="1" t="s">
        <v>26</v>
      </c>
      <c r="O278">
        <v>2018</v>
      </c>
      <c r="P278" t="s">
        <v>50</v>
      </c>
      <c r="Q278" t="s">
        <v>28</v>
      </c>
      <c r="R278" t="s">
        <v>29</v>
      </c>
    </row>
    <row r="279" spans="1:18" x14ac:dyDescent="0.25">
      <c r="A279" t="s">
        <v>18</v>
      </c>
      <c r="B279" t="s">
        <v>206</v>
      </c>
      <c r="C279" t="s">
        <v>584</v>
      </c>
      <c r="D279" s="1" t="s">
        <v>21</v>
      </c>
      <c r="E279">
        <v>52.124299999999998</v>
      </c>
      <c r="F279">
        <v>20.665400000000002</v>
      </c>
      <c r="G279" t="s">
        <v>31</v>
      </c>
      <c r="H279" t="s">
        <v>32</v>
      </c>
      <c r="I279" t="s">
        <v>442</v>
      </c>
      <c r="J279" t="s">
        <v>45</v>
      </c>
      <c r="K279">
        <v>2</v>
      </c>
      <c r="L279">
        <v>323</v>
      </c>
      <c r="M279">
        <v>646</v>
      </c>
      <c r="N279" s="1" t="s">
        <v>26</v>
      </c>
      <c r="O279">
        <v>2018</v>
      </c>
      <c r="P279" t="s">
        <v>77</v>
      </c>
      <c r="Q279" t="s">
        <v>56</v>
      </c>
      <c r="R279" t="s">
        <v>57</v>
      </c>
    </row>
    <row r="280" spans="1:18" x14ac:dyDescent="0.25">
      <c r="A280" t="s">
        <v>18</v>
      </c>
      <c r="B280" t="s">
        <v>443</v>
      </c>
      <c r="C280" t="s">
        <v>444</v>
      </c>
      <c r="D280" s="1" t="s">
        <v>21</v>
      </c>
      <c r="E280">
        <v>52.216700000000003</v>
      </c>
      <c r="F280">
        <v>21.033300000000001</v>
      </c>
      <c r="G280" t="s">
        <v>31</v>
      </c>
      <c r="H280" t="s">
        <v>32</v>
      </c>
      <c r="I280" t="s">
        <v>62</v>
      </c>
      <c r="J280" t="s">
        <v>25</v>
      </c>
      <c r="K280">
        <v>2</v>
      </c>
      <c r="L280">
        <v>742</v>
      </c>
      <c r="M280">
        <v>1484</v>
      </c>
      <c r="N280" s="1" t="s">
        <v>26</v>
      </c>
      <c r="O280">
        <v>2018</v>
      </c>
      <c r="P280" t="s">
        <v>95</v>
      </c>
      <c r="Q280" t="s">
        <v>67</v>
      </c>
      <c r="R280" t="s">
        <v>68</v>
      </c>
    </row>
    <row r="281" spans="1:18" x14ac:dyDescent="0.25">
      <c r="A281" t="s">
        <v>18</v>
      </c>
      <c r="B281" t="s">
        <v>383</v>
      </c>
      <c r="C281" t="s">
        <v>384</v>
      </c>
      <c r="D281" s="1" t="s">
        <v>21</v>
      </c>
      <c r="E281">
        <v>54.518900000000002</v>
      </c>
      <c r="F281">
        <v>18.5319</v>
      </c>
      <c r="G281" t="s">
        <v>31</v>
      </c>
      <c r="H281" t="s">
        <v>32</v>
      </c>
      <c r="I281" t="s">
        <v>355</v>
      </c>
      <c r="J281" t="s">
        <v>117</v>
      </c>
      <c r="K281">
        <v>30</v>
      </c>
      <c r="L281">
        <v>420</v>
      </c>
      <c r="M281">
        <v>12600</v>
      </c>
      <c r="N281" s="1" t="s">
        <v>26</v>
      </c>
      <c r="O281">
        <v>2018</v>
      </c>
      <c r="P281" t="s">
        <v>27</v>
      </c>
      <c r="Q281" t="s">
        <v>28</v>
      </c>
      <c r="R281" t="s">
        <v>29</v>
      </c>
    </row>
    <row r="282" spans="1:18" x14ac:dyDescent="0.25">
      <c r="A282" t="s">
        <v>18</v>
      </c>
      <c r="B282" t="s">
        <v>281</v>
      </c>
      <c r="C282" t="s">
        <v>600</v>
      </c>
      <c r="D282" s="1" t="s">
        <v>21</v>
      </c>
      <c r="E282">
        <v>51.030799999999999</v>
      </c>
      <c r="F282">
        <v>15.420199999999999</v>
      </c>
      <c r="G282" t="s">
        <v>22</v>
      </c>
      <c r="H282" t="s">
        <v>23</v>
      </c>
      <c r="I282" t="s">
        <v>396</v>
      </c>
      <c r="J282" t="s">
        <v>45</v>
      </c>
      <c r="K282">
        <v>2</v>
      </c>
      <c r="L282">
        <v>578</v>
      </c>
      <c r="M282">
        <v>1156</v>
      </c>
      <c r="N282" s="1" t="s">
        <v>26</v>
      </c>
      <c r="O282">
        <v>2018</v>
      </c>
      <c r="P282" t="s">
        <v>106</v>
      </c>
      <c r="Q282" t="s">
        <v>67</v>
      </c>
      <c r="R282" t="s">
        <v>68</v>
      </c>
    </row>
    <row r="283" spans="1:18" x14ac:dyDescent="0.25">
      <c r="A283" t="s">
        <v>18</v>
      </c>
      <c r="B283" t="s">
        <v>439</v>
      </c>
      <c r="C283" t="s">
        <v>627</v>
      </c>
      <c r="D283" s="1" t="s">
        <v>21</v>
      </c>
      <c r="E283">
        <v>50.200899999999997</v>
      </c>
      <c r="F283">
        <v>17.828600000000002</v>
      </c>
      <c r="G283" t="s">
        <v>31</v>
      </c>
      <c r="H283" t="s">
        <v>38</v>
      </c>
      <c r="I283" t="s">
        <v>445</v>
      </c>
      <c r="J283" t="s">
        <v>25</v>
      </c>
      <c r="K283">
        <v>2</v>
      </c>
      <c r="L283">
        <v>682</v>
      </c>
      <c r="M283">
        <v>1364</v>
      </c>
      <c r="N283" s="1" t="s">
        <v>26</v>
      </c>
      <c r="O283">
        <v>2018</v>
      </c>
      <c r="P283" t="s">
        <v>106</v>
      </c>
      <c r="Q283" t="s">
        <v>67</v>
      </c>
      <c r="R283" t="s">
        <v>68</v>
      </c>
    </row>
    <row r="284" spans="1:18" x14ac:dyDescent="0.25">
      <c r="A284" t="s">
        <v>18</v>
      </c>
      <c r="B284" t="s">
        <v>434</v>
      </c>
      <c r="C284" t="s">
        <v>625</v>
      </c>
      <c r="D284" s="1" t="s">
        <v>21</v>
      </c>
      <c r="E284">
        <v>50.687399999999997</v>
      </c>
      <c r="F284">
        <v>16.371700000000001</v>
      </c>
      <c r="G284" t="s">
        <v>31</v>
      </c>
      <c r="H284" t="s">
        <v>32</v>
      </c>
      <c r="I284" t="s">
        <v>334</v>
      </c>
      <c r="J284" t="s">
        <v>80</v>
      </c>
      <c r="K284">
        <v>2</v>
      </c>
      <c r="L284">
        <v>345</v>
      </c>
      <c r="M284">
        <v>690</v>
      </c>
      <c r="N284" s="1" t="s">
        <v>26</v>
      </c>
      <c r="O284">
        <v>2018</v>
      </c>
      <c r="P284" t="s">
        <v>95</v>
      </c>
      <c r="Q284" t="s">
        <v>67</v>
      </c>
      <c r="R284" t="s">
        <v>68</v>
      </c>
    </row>
    <row r="285" spans="1:18" x14ac:dyDescent="0.25">
      <c r="A285" t="s">
        <v>18</v>
      </c>
      <c r="B285" t="s">
        <v>446</v>
      </c>
      <c r="C285" t="s">
        <v>447</v>
      </c>
      <c r="D285" s="1" t="s">
        <v>21</v>
      </c>
      <c r="E285">
        <v>49.4833</v>
      </c>
      <c r="F285">
        <v>20.033300000000001</v>
      </c>
      <c r="G285" t="s">
        <v>31</v>
      </c>
      <c r="H285" t="s">
        <v>38</v>
      </c>
      <c r="I285" t="s">
        <v>448</v>
      </c>
      <c r="J285" t="s">
        <v>88</v>
      </c>
      <c r="K285">
        <v>34</v>
      </c>
      <c r="L285">
        <v>390</v>
      </c>
      <c r="M285">
        <v>13260</v>
      </c>
      <c r="N285" s="1" t="s">
        <v>26</v>
      </c>
      <c r="O285">
        <v>2018</v>
      </c>
      <c r="P285" t="s">
        <v>27</v>
      </c>
      <c r="Q285" t="s">
        <v>28</v>
      </c>
      <c r="R285" t="s">
        <v>29</v>
      </c>
    </row>
    <row r="286" spans="1:18" x14ac:dyDescent="0.25">
      <c r="A286" t="s">
        <v>18</v>
      </c>
      <c r="B286" t="s">
        <v>248</v>
      </c>
      <c r="C286" t="s">
        <v>593</v>
      </c>
      <c r="D286" s="1" t="s">
        <v>21</v>
      </c>
      <c r="E286">
        <v>53.816699999999997</v>
      </c>
      <c r="F286">
        <v>22.35</v>
      </c>
      <c r="G286" t="s">
        <v>31</v>
      </c>
      <c r="H286" t="s">
        <v>32</v>
      </c>
      <c r="I286" t="s">
        <v>163</v>
      </c>
      <c r="J286" t="s">
        <v>117</v>
      </c>
      <c r="K286">
        <v>20</v>
      </c>
      <c r="L286">
        <v>482</v>
      </c>
      <c r="M286">
        <v>9640</v>
      </c>
      <c r="N286" s="1" t="s">
        <v>26</v>
      </c>
      <c r="O286">
        <v>2018</v>
      </c>
      <c r="P286" t="s">
        <v>40</v>
      </c>
      <c r="Q286" t="s">
        <v>41</v>
      </c>
      <c r="R286" t="s">
        <v>42</v>
      </c>
    </row>
    <row r="287" spans="1:18" x14ac:dyDescent="0.25">
      <c r="A287" t="s">
        <v>18</v>
      </c>
      <c r="B287" t="s">
        <v>231</v>
      </c>
      <c r="C287" t="s">
        <v>590</v>
      </c>
      <c r="D287" s="1" t="s">
        <v>21</v>
      </c>
      <c r="E287">
        <v>52.253100000000003</v>
      </c>
      <c r="F287">
        <v>15.9178</v>
      </c>
      <c r="G287" t="s">
        <v>22</v>
      </c>
      <c r="H287" t="s">
        <v>23</v>
      </c>
      <c r="I287" t="s">
        <v>391</v>
      </c>
      <c r="J287" t="s">
        <v>80</v>
      </c>
      <c r="K287">
        <v>2</v>
      </c>
      <c r="L287">
        <v>634</v>
      </c>
      <c r="M287">
        <v>1268</v>
      </c>
      <c r="N287" s="1" t="s">
        <v>26</v>
      </c>
      <c r="O287">
        <v>2018</v>
      </c>
      <c r="P287" t="s">
        <v>50</v>
      </c>
      <c r="Q287" t="s">
        <v>28</v>
      </c>
      <c r="R287" t="s">
        <v>29</v>
      </c>
    </row>
    <row r="288" spans="1:18" x14ac:dyDescent="0.25">
      <c r="A288" t="s">
        <v>18</v>
      </c>
      <c r="B288" t="s">
        <v>362</v>
      </c>
      <c r="C288" t="s">
        <v>615</v>
      </c>
      <c r="D288" s="1" t="s">
        <v>21</v>
      </c>
      <c r="E288">
        <v>52.588299999999997</v>
      </c>
      <c r="F288">
        <v>14.666700000000001</v>
      </c>
      <c r="G288" t="s">
        <v>22</v>
      </c>
      <c r="H288" t="s">
        <v>74</v>
      </c>
      <c r="I288" t="s">
        <v>137</v>
      </c>
      <c r="J288" t="s">
        <v>45</v>
      </c>
      <c r="K288">
        <v>2</v>
      </c>
      <c r="L288">
        <v>26</v>
      </c>
      <c r="M288">
        <v>52</v>
      </c>
      <c r="N288" s="1" t="s">
        <v>26</v>
      </c>
      <c r="O288">
        <v>2018</v>
      </c>
      <c r="P288" t="s">
        <v>60</v>
      </c>
      <c r="Q288" t="s">
        <v>28</v>
      </c>
      <c r="R288" t="s">
        <v>29</v>
      </c>
    </row>
    <row r="289" spans="1:18" x14ac:dyDescent="0.25">
      <c r="A289" t="s">
        <v>18</v>
      </c>
      <c r="B289" t="s">
        <v>263</v>
      </c>
      <c r="C289" t="s">
        <v>264</v>
      </c>
      <c r="D289" s="1" t="s">
        <v>21</v>
      </c>
      <c r="E289">
        <v>52.2333</v>
      </c>
      <c r="F289">
        <v>19.366700000000002</v>
      </c>
      <c r="G289" t="s">
        <v>31</v>
      </c>
      <c r="H289" t="s">
        <v>32</v>
      </c>
      <c r="I289" t="s">
        <v>302</v>
      </c>
      <c r="J289" t="s">
        <v>117</v>
      </c>
      <c r="K289">
        <v>6</v>
      </c>
      <c r="L289">
        <v>187</v>
      </c>
      <c r="M289">
        <v>0</v>
      </c>
      <c r="N289" s="1" t="s">
        <v>26</v>
      </c>
      <c r="O289">
        <v>2018</v>
      </c>
      <c r="P289" t="s">
        <v>27</v>
      </c>
      <c r="Q289" t="s">
        <v>28</v>
      </c>
      <c r="R289" t="s">
        <v>29</v>
      </c>
    </row>
    <row r="290" spans="1:18" x14ac:dyDescent="0.25">
      <c r="A290" t="s">
        <v>18</v>
      </c>
      <c r="B290" t="s">
        <v>449</v>
      </c>
      <c r="C290" t="s">
        <v>628</v>
      </c>
      <c r="D290" s="1" t="s">
        <v>21</v>
      </c>
      <c r="E290">
        <v>52.444600000000001</v>
      </c>
      <c r="F290">
        <v>15.577999999999999</v>
      </c>
      <c r="G290" t="s">
        <v>31</v>
      </c>
      <c r="H290" t="s">
        <v>38</v>
      </c>
      <c r="I290" t="s">
        <v>450</v>
      </c>
      <c r="J290" t="s">
        <v>45</v>
      </c>
      <c r="K290">
        <v>2</v>
      </c>
      <c r="L290">
        <v>555</v>
      </c>
      <c r="M290">
        <v>1110</v>
      </c>
      <c r="N290" s="1" t="s">
        <v>26</v>
      </c>
      <c r="O290">
        <v>2018</v>
      </c>
      <c r="P290" t="s">
        <v>40</v>
      </c>
      <c r="Q290" t="s">
        <v>41</v>
      </c>
      <c r="R290" t="s">
        <v>42</v>
      </c>
    </row>
    <row r="291" spans="1:18" x14ac:dyDescent="0.25">
      <c r="A291" t="s">
        <v>18</v>
      </c>
      <c r="B291" t="s">
        <v>199</v>
      </c>
      <c r="C291" t="s">
        <v>582</v>
      </c>
      <c r="D291" s="1" t="s">
        <v>21</v>
      </c>
      <c r="E291">
        <v>52.2453</v>
      </c>
      <c r="F291">
        <v>19.6236</v>
      </c>
      <c r="G291" t="s">
        <v>22</v>
      </c>
      <c r="H291" t="s">
        <v>74</v>
      </c>
      <c r="I291" t="s">
        <v>39</v>
      </c>
      <c r="J291" t="s">
        <v>34</v>
      </c>
      <c r="K291">
        <v>2</v>
      </c>
      <c r="L291">
        <v>66</v>
      </c>
      <c r="M291">
        <v>132</v>
      </c>
      <c r="N291" s="1" t="s">
        <v>26</v>
      </c>
      <c r="O291">
        <v>2018</v>
      </c>
      <c r="P291" t="s">
        <v>27</v>
      </c>
      <c r="Q291" t="s">
        <v>28</v>
      </c>
      <c r="R291" t="s">
        <v>29</v>
      </c>
    </row>
    <row r="292" spans="1:18" x14ac:dyDescent="0.25">
      <c r="A292" t="s">
        <v>18</v>
      </c>
      <c r="B292" t="s">
        <v>340</v>
      </c>
      <c r="C292" t="s">
        <v>341</v>
      </c>
      <c r="D292" s="1" t="s">
        <v>21</v>
      </c>
      <c r="E292">
        <v>53.116700000000002</v>
      </c>
      <c r="F292">
        <v>18</v>
      </c>
      <c r="G292" t="s">
        <v>22</v>
      </c>
      <c r="H292" t="s">
        <v>23</v>
      </c>
      <c r="I292" t="s">
        <v>451</v>
      </c>
      <c r="J292" t="s">
        <v>88</v>
      </c>
      <c r="K292">
        <v>1</v>
      </c>
      <c r="L292">
        <v>618</v>
      </c>
      <c r="M292">
        <v>618</v>
      </c>
      <c r="N292" s="1" t="s">
        <v>26</v>
      </c>
      <c r="O292">
        <v>2018</v>
      </c>
      <c r="P292" t="s">
        <v>40</v>
      </c>
      <c r="Q292" t="s">
        <v>41</v>
      </c>
      <c r="R292" t="s">
        <v>42</v>
      </c>
    </row>
    <row r="293" spans="1:18" x14ac:dyDescent="0.25">
      <c r="A293" t="s">
        <v>18</v>
      </c>
      <c r="B293" t="s">
        <v>134</v>
      </c>
      <c r="C293" t="s">
        <v>561</v>
      </c>
      <c r="D293" s="1" t="s">
        <v>21</v>
      </c>
      <c r="E293">
        <v>52.1417</v>
      </c>
      <c r="F293">
        <v>20.716699999999999</v>
      </c>
      <c r="G293" t="s">
        <v>22</v>
      </c>
      <c r="H293" t="s">
        <v>23</v>
      </c>
      <c r="I293" t="s">
        <v>245</v>
      </c>
      <c r="J293" t="s">
        <v>80</v>
      </c>
      <c r="K293">
        <v>1</v>
      </c>
      <c r="L293">
        <v>318</v>
      </c>
      <c r="M293">
        <v>318</v>
      </c>
      <c r="N293" s="1" t="s">
        <v>26</v>
      </c>
      <c r="O293">
        <v>2018</v>
      </c>
      <c r="P293" t="s">
        <v>95</v>
      </c>
      <c r="Q293" t="s">
        <v>67</v>
      </c>
      <c r="R293" t="s">
        <v>68</v>
      </c>
    </row>
    <row r="294" spans="1:18" x14ac:dyDescent="0.25">
      <c r="A294" t="s">
        <v>18</v>
      </c>
      <c r="B294" t="s">
        <v>211</v>
      </c>
      <c r="C294" t="s">
        <v>212</v>
      </c>
      <c r="D294" s="1" t="s">
        <v>21</v>
      </c>
      <c r="E294">
        <v>52.183300000000003</v>
      </c>
      <c r="F294">
        <v>22.283300000000001</v>
      </c>
      <c r="G294" t="s">
        <v>31</v>
      </c>
      <c r="H294" t="s">
        <v>32</v>
      </c>
      <c r="I294" t="s">
        <v>450</v>
      </c>
      <c r="J294" t="s">
        <v>45</v>
      </c>
      <c r="K294">
        <v>1</v>
      </c>
      <c r="L294">
        <v>555</v>
      </c>
      <c r="M294">
        <v>555</v>
      </c>
      <c r="N294" s="1" t="s">
        <v>26</v>
      </c>
      <c r="O294">
        <v>2018</v>
      </c>
      <c r="P294" t="s">
        <v>60</v>
      </c>
      <c r="Q294" t="s">
        <v>28</v>
      </c>
      <c r="R294" t="s">
        <v>29</v>
      </c>
    </row>
    <row r="295" spans="1:18" x14ac:dyDescent="0.25">
      <c r="A295" t="s">
        <v>18</v>
      </c>
      <c r="B295" t="s">
        <v>421</v>
      </c>
      <c r="C295" t="s">
        <v>624</v>
      </c>
      <c r="D295" s="1" t="s">
        <v>21</v>
      </c>
      <c r="E295">
        <v>51.466700000000003</v>
      </c>
      <c r="F295">
        <v>22.6</v>
      </c>
      <c r="G295" t="s">
        <v>31</v>
      </c>
      <c r="H295" t="s">
        <v>38</v>
      </c>
      <c r="I295" t="s">
        <v>452</v>
      </c>
      <c r="J295" t="s">
        <v>117</v>
      </c>
      <c r="K295">
        <v>1</v>
      </c>
      <c r="L295">
        <v>478</v>
      </c>
      <c r="M295">
        <v>0</v>
      </c>
      <c r="N295" s="1" t="s">
        <v>26</v>
      </c>
      <c r="O295">
        <v>2018</v>
      </c>
      <c r="P295" t="s">
        <v>27</v>
      </c>
      <c r="Q295" t="s">
        <v>28</v>
      </c>
      <c r="R295" t="s">
        <v>29</v>
      </c>
    </row>
    <row r="296" spans="1:18" x14ac:dyDescent="0.25">
      <c r="A296" t="s">
        <v>18</v>
      </c>
      <c r="B296" t="s">
        <v>206</v>
      </c>
      <c r="C296" t="s">
        <v>584</v>
      </c>
      <c r="D296" s="1" t="s">
        <v>21</v>
      </c>
      <c r="E296">
        <v>52.124299999999998</v>
      </c>
      <c r="F296">
        <v>20.665400000000002</v>
      </c>
      <c r="G296" t="s">
        <v>31</v>
      </c>
      <c r="H296" t="s">
        <v>32</v>
      </c>
      <c r="I296" t="s">
        <v>453</v>
      </c>
      <c r="J296" t="s">
        <v>34</v>
      </c>
      <c r="K296">
        <v>20</v>
      </c>
      <c r="L296">
        <v>430</v>
      </c>
      <c r="M296">
        <v>8600</v>
      </c>
      <c r="N296" s="1" t="s">
        <v>26</v>
      </c>
      <c r="O296">
        <v>2018</v>
      </c>
      <c r="P296" t="s">
        <v>95</v>
      </c>
      <c r="Q296" t="s">
        <v>67</v>
      </c>
      <c r="R296" t="s">
        <v>68</v>
      </c>
    </row>
    <row r="297" spans="1:18" x14ac:dyDescent="0.25">
      <c r="A297" t="s">
        <v>454</v>
      </c>
      <c r="B297" t="s">
        <v>455</v>
      </c>
      <c r="C297" t="s">
        <v>456</v>
      </c>
      <c r="D297" s="1" t="s">
        <v>218</v>
      </c>
      <c r="E297">
        <v>50.816699999999997</v>
      </c>
      <c r="F297">
        <v>8.7667000000000002</v>
      </c>
      <c r="G297" t="s">
        <v>31</v>
      </c>
      <c r="H297" t="s">
        <v>32</v>
      </c>
      <c r="I297" t="s">
        <v>137</v>
      </c>
      <c r="J297" t="s">
        <v>45</v>
      </c>
      <c r="K297">
        <v>3</v>
      </c>
      <c r="L297">
        <v>26</v>
      </c>
      <c r="M297">
        <v>78</v>
      </c>
      <c r="N297" s="1" t="s">
        <v>289</v>
      </c>
      <c r="O297">
        <v>2017</v>
      </c>
      <c r="P297" t="s">
        <v>27</v>
      </c>
      <c r="Q297" t="s">
        <v>28</v>
      </c>
      <c r="R297" t="s">
        <v>29</v>
      </c>
    </row>
    <row r="298" spans="1:18" x14ac:dyDescent="0.25">
      <c r="A298" t="s">
        <v>454</v>
      </c>
      <c r="B298" t="s">
        <v>457</v>
      </c>
      <c r="C298" t="s">
        <v>458</v>
      </c>
      <c r="D298" s="1" t="s">
        <v>218</v>
      </c>
      <c r="E298">
        <v>52.411700000000003</v>
      </c>
      <c r="F298">
        <v>12.556100000000001</v>
      </c>
      <c r="G298" t="s">
        <v>22</v>
      </c>
      <c r="H298" t="s">
        <v>74</v>
      </c>
      <c r="I298" t="s">
        <v>203</v>
      </c>
      <c r="J298" t="s">
        <v>80</v>
      </c>
      <c r="K298">
        <v>20</v>
      </c>
      <c r="L298">
        <v>269</v>
      </c>
      <c r="M298">
        <v>5380</v>
      </c>
      <c r="N298" s="1" t="s">
        <v>289</v>
      </c>
      <c r="O298">
        <v>2017</v>
      </c>
      <c r="P298" t="s">
        <v>95</v>
      </c>
      <c r="Q298" t="s">
        <v>67</v>
      </c>
      <c r="R298" t="s">
        <v>68</v>
      </c>
    </row>
    <row r="299" spans="1:18" x14ac:dyDescent="0.25">
      <c r="A299" t="s">
        <v>454</v>
      </c>
      <c r="B299" t="s">
        <v>459</v>
      </c>
      <c r="C299" t="s">
        <v>460</v>
      </c>
      <c r="D299" s="1" t="s">
        <v>218</v>
      </c>
      <c r="E299">
        <v>50.1</v>
      </c>
      <c r="F299">
        <v>11.433299999999999</v>
      </c>
      <c r="G299" t="s">
        <v>31</v>
      </c>
      <c r="H299" t="s">
        <v>32</v>
      </c>
      <c r="I299" t="s">
        <v>393</v>
      </c>
      <c r="J299" t="s">
        <v>117</v>
      </c>
      <c r="K299">
        <v>10</v>
      </c>
      <c r="L299">
        <v>474</v>
      </c>
      <c r="M299">
        <v>4740</v>
      </c>
      <c r="N299" s="1" t="s">
        <v>289</v>
      </c>
      <c r="O299">
        <v>2017</v>
      </c>
      <c r="P299" t="s">
        <v>50</v>
      </c>
      <c r="Q299" t="s">
        <v>28</v>
      </c>
      <c r="R299" t="s">
        <v>29</v>
      </c>
    </row>
    <row r="300" spans="1:18" x14ac:dyDescent="0.25">
      <c r="A300" t="s">
        <v>454</v>
      </c>
      <c r="B300" t="s">
        <v>461</v>
      </c>
      <c r="C300" t="s">
        <v>462</v>
      </c>
      <c r="D300" s="1" t="s">
        <v>218</v>
      </c>
      <c r="E300">
        <v>49.3</v>
      </c>
      <c r="F300">
        <v>10.583299999999999</v>
      </c>
      <c r="G300" t="s">
        <v>22</v>
      </c>
      <c r="H300" t="s">
        <v>74</v>
      </c>
      <c r="I300" t="s">
        <v>158</v>
      </c>
      <c r="J300" t="s">
        <v>45</v>
      </c>
      <c r="K300">
        <v>10</v>
      </c>
      <c r="L300">
        <v>60</v>
      </c>
      <c r="M300">
        <v>600</v>
      </c>
      <c r="N300" s="1" t="s">
        <v>289</v>
      </c>
      <c r="O300">
        <v>2017</v>
      </c>
      <c r="P300" t="s">
        <v>40</v>
      </c>
      <c r="Q300" t="s">
        <v>41</v>
      </c>
      <c r="R300" t="s">
        <v>42</v>
      </c>
    </row>
    <row r="301" spans="1:18" x14ac:dyDescent="0.25">
      <c r="A301" t="s">
        <v>454</v>
      </c>
      <c r="B301" t="s">
        <v>463</v>
      </c>
      <c r="C301" t="s">
        <v>464</v>
      </c>
      <c r="D301" s="1" t="s">
        <v>218</v>
      </c>
      <c r="E301">
        <v>49.2</v>
      </c>
      <c r="F301">
        <v>7.6</v>
      </c>
      <c r="G301" t="s">
        <v>22</v>
      </c>
      <c r="H301" t="s">
        <v>74</v>
      </c>
      <c r="I301" t="s">
        <v>406</v>
      </c>
      <c r="J301" t="s">
        <v>88</v>
      </c>
      <c r="K301">
        <v>5</v>
      </c>
      <c r="L301">
        <v>726</v>
      </c>
      <c r="M301">
        <v>3630</v>
      </c>
      <c r="N301" s="1" t="s">
        <v>289</v>
      </c>
      <c r="O301">
        <v>2017</v>
      </c>
      <c r="P301" t="s">
        <v>95</v>
      </c>
      <c r="Q301" t="s">
        <v>67</v>
      </c>
      <c r="R301" t="s">
        <v>68</v>
      </c>
    </row>
    <row r="302" spans="1:18" x14ac:dyDescent="0.25">
      <c r="A302" t="s">
        <v>454</v>
      </c>
      <c r="B302" t="s">
        <v>465</v>
      </c>
      <c r="C302" t="s">
        <v>466</v>
      </c>
      <c r="D302" s="1" t="s">
        <v>218</v>
      </c>
      <c r="E302">
        <v>52.216700000000003</v>
      </c>
      <c r="F302">
        <v>8.9332999999999991</v>
      </c>
      <c r="G302" t="s">
        <v>22</v>
      </c>
      <c r="H302" t="s">
        <v>23</v>
      </c>
      <c r="I302" t="s">
        <v>139</v>
      </c>
      <c r="J302" t="s">
        <v>25</v>
      </c>
      <c r="K302">
        <v>10</v>
      </c>
      <c r="L302">
        <v>452</v>
      </c>
      <c r="M302">
        <v>4520</v>
      </c>
      <c r="N302" s="1" t="s">
        <v>289</v>
      </c>
      <c r="O302">
        <v>2017</v>
      </c>
      <c r="P302" t="s">
        <v>71</v>
      </c>
      <c r="Q302" t="s">
        <v>41</v>
      </c>
      <c r="R302" t="s">
        <v>42</v>
      </c>
    </row>
    <row r="303" spans="1:18" x14ac:dyDescent="0.25">
      <c r="A303" t="s">
        <v>454</v>
      </c>
      <c r="B303" t="s">
        <v>467</v>
      </c>
      <c r="C303" t="s">
        <v>468</v>
      </c>
      <c r="D303" s="1" t="s">
        <v>218</v>
      </c>
      <c r="E303">
        <v>51.937800000000003</v>
      </c>
      <c r="F303">
        <v>8.8833000000000002</v>
      </c>
      <c r="G303" t="s">
        <v>22</v>
      </c>
      <c r="H303" t="s">
        <v>74</v>
      </c>
      <c r="I303" t="s">
        <v>219</v>
      </c>
      <c r="J303" t="s">
        <v>117</v>
      </c>
      <c r="K303">
        <v>10</v>
      </c>
      <c r="L303">
        <v>713</v>
      </c>
      <c r="M303">
        <v>7130</v>
      </c>
      <c r="N303" s="1" t="s">
        <v>289</v>
      </c>
      <c r="O303">
        <v>2017</v>
      </c>
      <c r="P303" t="s">
        <v>27</v>
      </c>
      <c r="Q303" t="s">
        <v>28</v>
      </c>
      <c r="R303" t="s">
        <v>29</v>
      </c>
    </row>
    <row r="304" spans="1:18" x14ac:dyDescent="0.25">
      <c r="A304" t="s">
        <v>454</v>
      </c>
      <c r="B304" t="s">
        <v>469</v>
      </c>
      <c r="C304" t="s">
        <v>470</v>
      </c>
      <c r="D304" s="1" t="s">
        <v>218</v>
      </c>
      <c r="E304">
        <v>52.964700000000001</v>
      </c>
      <c r="F304">
        <v>10.565799999999999</v>
      </c>
      <c r="G304" t="s">
        <v>22</v>
      </c>
      <c r="H304" t="s">
        <v>74</v>
      </c>
      <c r="I304" t="s">
        <v>191</v>
      </c>
      <c r="J304" t="s">
        <v>117</v>
      </c>
      <c r="K304">
        <v>20</v>
      </c>
      <c r="L304">
        <v>206</v>
      </c>
      <c r="M304">
        <v>4120</v>
      </c>
      <c r="N304" s="1" t="s">
        <v>289</v>
      </c>
      <c r="O304">
        <v>2017</v>
      </c>
      <c r="P304" t="s">
        <v>106</v>
      </c>
      <c r="Q304" t="s">
        <v>67</v>
      </c>
      <c r="R304" t="s">
        <v>68</v>
      </c>
    </row>
    <row r="305" spans="1:18" x14ac:dyDescent="0.25">
      <c r="A305" t="s">
        <v>454</v>
      </c>
      <c r="B305" t="s">
        <v>471</v>
      </c>
      <c r="C305" t="s">
        <v>472</v>
      </c>
      <c r="D305" s="1" t="s">
        <v>218</v>
      </c>
      <c r="E305">
        <v>48.283299999999997</v>
      </c>
      <c r="F305">
        <v>9.7235999999999994</v>
      </c>
      <c r="G305" t="s">
        <v>31</v>
      </c>
      <c r="H305" t="s">
        <v>32</v>
      </c>
      <c r="I305" t="s">
        <v>473</v>
      </c>
      <c r="J305" t="s">
        <v>25</v>
      </c>
      <c r="K305">
        <v>20</v>
      </c>
      <c r="L305">
        <v>64</v>
      </c>
      <c r="N305" s="1" t="s">
        <v>289</v>
      </c>
      <c r="O305">
        <v>2017</v>
      </c>
      <c r="P305" t="s">
        <v>40</v>
      </c>
      <c r="Q305" t="s">
        <v>41</v>
      </c>
      <c r="R305" t="s">
        <v>42</v>
      </c>
    </row>
    <row r="306" spans="1:18" x14ac:dyDescent="0.25">
      <c r="A306" t="s">
        <v>454</v>
      </c>
      <c r="B306" t="s">
        <v>474</v>
      </c>
      <c r="C306" t="s">
        <v>475</v>
      </c>
      <c r="D306" s="1" t="s">
        <v>218</v>
      </c>
      <c r="E306">
        <v>48.714399999999998</v>
      </c>
      <c r="F306">
        <v>8.7375000000000007</v>
      </c>
      <c r="G306" t="s">
        <v>22</v>
      </c>
      <c r="H306" t="s">
        <v>23</v>
      </c>
      <c r="I306" t="s">
        <v>70</v>
      </c>
      <c r="J306" t="s">
        <v>45</v>
      </c>
      <c r="K306">
        <v>5</v>
      </c>
      <c r="L306">
        <v>243</v>
      </c>
      <c r="N306" s="1" t="s">
        <v>289</v>
      </c>
      <c r="O306">
        <v>2017</v>
      </c>
      <c r="P306" t="s">
        <v>40</v>
      </c>
      <c r="Q306" t="s">
        <v>41</v>
      </c>
      <c r="R306" t="s">
        <v>42</v>
      </c>
    </row>
    <row r="307" spans="1:18" x14ac:dyDescent="0.25">
      <c r="A307" t="s">
        <v>454</v>
      </c>
      <c r="B307" t="s">
        <v>476</v>
      </c>
      <c r="C307" t="s">
        <v>477</v>
      </c>
      <c r="D307" s="1" t="s">
        <v>218</v>
      </c>
      <c r="E307">
        <v>52.212499999999999</v>
      </c>
      <c r="F307">
        <v>7.0416999999999996</v>
      </c>
      <c r="G307" t="s">
        <v>31</v>
      </c>
      <c r="H307" t="s">
        <v>38</v>
      </c>
      <c r="I307" t="s">
        <v>84</v>
      </c>
      <c r="J307" t="s">
        <v>25</v>
      </c>
      <c r="K307">
        <v>10</v>
      </c>
      <c r="L307">
        <v>785</v>
      </c>
      <c r="N307" s="1" t="s">
        <v>289</v>
      </c>
      <c r="O307">
        <v>2017</v>
      </c>
      <c r="P307" t="s">
        <v>77</v>
      </c>
      <c r="Q307" t="s">
        <v>56</v>
      </c>
      <c r="R307" t="s">
        <v>57</v>
      </c>
    </row>
    <row r="308" spans="1:18" x14ac:dyDescent="0.25">
      <c r="A308" t="s">
        <v>454</v>
      </c>
      <c r="B308" t="s">
        <v>478</v>
      </c>
      <c r="C308" t="s">
        <v>479</v>
      </c>
      <c r="D308" s="1" t="s">
        <v>218</v>
      </c>
      <c r="E308">
        <v>53.066699999999997</v>
      </c>
      <c r="F308">
        <v>7.4</v>
      </c>
      <c r="G308" t="s">
        <v>22</v>
      </c>
      <c r="H308" t="s">
        <v>23</v>
      </c>
      <c r="I308" t="s">
        <v>87</v>
      </c>
      <c r="J308" t="s">
        <v>88</v>
      </c>
      <c r="K308">
        <v>30</v>
      </c>
      <c r="L308">
        <v>286</v>
      </c>
      <c r="N308" s="1" t="s">
        <v>289</v>
      </c>
      <c r="O308">
        <v>2017</v>
      </c>
      <c r="P308" t="s">
        <v>81</v>
      </c>
      <c r="Q308" t="s">
        <v>41</v>
      </c>
      <c r="R308" t="s">
        <v>42</v>
      </c>
    </row>
    <row r="309" spans="1:18" x14ac:dyDescent="0.25">
      <c r="A309" t="s">
        <v>454</v>
      </c>
      <c r="B309" t="s">
        <v>480</v>
      </c>
      <c r="C309" t="s">
        <v>481</v>
      </c>
      <c r="D309" s="1" t="s">
        <v>218</v>
      </c>
      <c r="E309">
        <v>51.666699999999999</v>
      </c>
      <c r="F309">
        <v>7.1166999999999998</v>
      </c>
      <c r="G309" t="s">
        <v>22</v>
      </c>
      <c r="H309" t="s">
        <v>23</v>
      </c>
      <c r="I309" t="s">
        <v>170</v>
      </c>
      <c r="J309" t="s">
        <v>25</v>
      </c>
      <c r="K309">
        <v>50</v>
      </c>
      <c r="L309">
        <v>99</v>
      </c>
      <c r="M309">
        <v>4950</v>
      </c>
      <c r="N309" s="1" t="s">
        <v>289</v>
      </c>
      <c r="O309">
        <v>2017</v>
      </c>
      <c r="P309" t="s">
        <v>35</v>
      </c>
      <c r="Q309" t="s">
        <v>28</v>
      </c>
      <c r="R309" t="s">
        <v>29</v>
      </c>
    </row>
    <row r="310" spans="1:18" x14ac:dyDescent="0.25">
      <c r="A310" t="s">
        <v>454</v>
      </c>
      <c r="B310" t="s">
        <v>482</v>
      </c>
      <c r="C310" t="s">
        <v>629</v>
      </c>
      <c r="D310" s="1" t="s">
        <v>218</v>
      </c>
      <c r="E310">
        <v>52.291699999999999</v>
      </c>
      <c r="F310">
        <v>13.625</v>
      </c>
      <c r="G310" t="s">
        <v>31</v>
      </c>
      <c r="H310" t="s">
        <v>32</v>
      </c>
      <c r="I310" t="s">
        <v>399</v>
      </c>
      <c r="J310" t="s">
        <v>34</v>
      </c>
      <c r="K310">
        <v>10</v>
      </c>
      <c r="L310">
        <v>688</v>
      </c>
      <c r="M310">
        <v>6880</v>
      </c>
      <c r="N310" s="1" t="s">
        <v>289</v>
      </c>
      <c r="O310">
        <v>2017</v>
      </c>
      <c r="P310" t="s">
        <v>71</v>
      </c>
      <c r="Q310" t="s">
        <v>41</v>
      </c>
      <c r="R310" t="s">
        <v>42</v>
      </c>
    </row>
    <row r="311" spans="1:18" x14ac:dyDescent="0.25">
      <c r="A311" t="s">
        <v>454</v>
      </c>
      <c r="B311" t="s">
        <v>483</v>
      </c>
      <c r="C311" t="s">
        <v>484</v>
      </c>
      <c r="D311" s="1" t="s">
        <v>218</v>
      </c>
      <c r="E311">
        <v>50.645000000000003</v>
      </c>
      <c r="F311">
        <v>7.2268999999999997</v>
      </c>
      <c r="G311" t="s">
        <v>31</v>
      </c>
      <c r="H311" t="s">
        <v>38</v>
      </c>
      <c r="I311" t="s">
        <v>485</v>
      </c>
      <c r="J311" t="s">
        <v>25</v>
      </c>
      <c r="K311">
        <v>-10</v>
      </c>
      <c r="L311">
        <v>187</v>
      </c>
      <c r="M311">
        <v>-1870</v>
      </c>
      <c r="N311" s="1" t="s">
        <v>289</v>
      </c>
      <c r="O311">
        <v>2017</v>
      </c>
      <c r="P311" t="s">
        <v>81</v>
      </c>
      <c r="Q311" t="s">
        <v>41</v>
      </c>
      <c r="R311" t="s">
        <v>42</v>
      </c>
    </row>
    <row r="312" spans="1:18" x14ac:dyDescent="0.25">
      <c r="A312" t="s">
        <v>454</v>
      </c>
      <c r="B312" t="s">
        <v>486</v>
      </c>
      <c r="C312" t="s">
        <v>487</v>
      </c>
      <c r="D312" s="1" t="s">
        <v>218</v>
      </c>
      <c r="E312">
        <v>48.631399999999999</v>
      </c>
      <c r="F312">
        <v>8.0739000000000001</v>
      </c>
      <c r="G312" t="s">
        <v>31</v>
      </c>
      <c r="H312" t="s">
        <v>32</v>
      </c>
      <c r="I312" t="s">
        <v>488</v>
      </c>
      <c r="J312" t="s">
        <v>25</v>
      </c>
      <c r="K312">
        <v>500</v>
      </c>
      <c r="L312">
        <v>180</v>
      </c>
      <c r="M312">
        <v>90000</v>
      </c>
      <c r="N312" s="1" t="s">
        <v>289</v>
      </c>
      <c r="O312">
        <v>2017</v>
      </c>
      <c r="P312" t="s">
        <v>77</v>
      </c>
      <c r="Q312" t="s">
        <v>56</v>
      </c>
      <c r="R312" t="s">
        <v>57</v>
      </c>
    </row>
    <row r="313" spans="1:18" x14ac:dyDescent="0.25">
      <c r="A313" t="s">
        <v>489</v>
      </c>
      <c r="B313" t="s">
        <v>490</v>
      </c>
      <c r="C313" t="s">
        <v>491</v>
      </c>
      <c r="D313" s="1" t="s">
        <v>218</v>
      </c>
      <c r="E313">
        <v>48.722799999999999</v>
      </c>
      <c r="F313">
        <v>9.2630999999999997</v>
      </c>
      <c r="G313" t="s">
        <v>22</v>
      </c>
      <c r="H313" t="s">
        <v>74</v>
      </c>
      <c r="I313" t="s">
        <v>94</v>
      </c>
      <c r="J313" t="s">
        <v>88</v>
      </c>
      <c r="K313">
        <v>20</v>
      </c>
      <c r="L313">
        <v>548</v>
      </c>
      <c r="M313">
        <v>10960</v>
      </c>
      <c r="N313" s="1" t="s">
        <v>85</v>
      </c>
      <c r="O313">
        <v>2017</v>
      </c>
      <c r="P313" t="s">
        <v>103</v>
      </c>
      <c r="Q313" t="s">
        <v>56</v>
      </c>
      <c r="R313" t="s">
        <v>57</v>
      </c>
    </row>
    <row r="314" spans="1:18" x14ac:dyDescent="0.25">
      <c r="A314" t="s">
        <v>489</v>
      </c>
      <c r="B314" t="s">
        <v>492</v>
      </c>
      <c r="C314" t="s">
        <v>493</v>
      </c>
      <c r="D314" s="1" t="s">
        <v>218</v>
      </c>
      <c r="E314">
        <v>51.08</v>
      </c>
      <c r="F314">
        <v>6.3155999999999999</v>
      </c>
      <c r="G314" t="s">
        <v>31</v>
      </c>
      <c r="H314" t="s">
        <v>32</v>
      </c>
      <c r="I314" t="s">
        <v>488</v>
      </c>
      <c r="J314" t="s">
        <v>25</v>
      </c>
      <c r="K314">
        <v>20</v>
      </c>
      <c r="L314">
        <v>180</v>
      </c>
      <c r="M314">
        <v>3600</v>
      </c>
      <c r="N314" s="1" t="s">
        <v>289</v>
      </c>
      <c r="O314">
        <v>2017</v>
      </c>
      <c r="P314" t="s">
        <v>103</v>
      </c>
      <c r="Q314" t="s">
        <v>56</v>
      </c>
      <c r="R314" t="s">
        <v>57</v>
      </c>
    </row>
    <row r="315" spans="1:18" x14ac:dyDescent="0.25">
      <c r="A315" t="s">
        <v>489</v>
      </c>
      <c r="B315" t="s">
        <v>494</v>
      </c>
      <c r="C315" t="s">
        <v>495</v>
      </c>
      <c r="D315" s="1" t="s">
        <v>218</v>
      </c>
      <c r="E315">
        <v>52.666699999999999</v>
      </c>
      <c r="F315">
        <v>8.2385999999999999</v>
      </c>
      <c r="G315" t="s">
        <v>22</v>
      </c>
      <c r="H315" t="s">
        <v>74</v>
      </c>
      <c r="I315" t="s">
        <v>307</v>
      </c>
      <c r="J315" t="s">
        <v>80</v>
      </c>
      <c r="K315">
        <v>10</v>
      </c>
      <c r="L315">
        <v>535</v>
      </c>
      <c r="M315">
        <v>5350</v>
      </c>
      <c r="N315" s="1" t="s">
        <v>289</v>
      </c>
      <c r="O315">
        <v>2017</v>
      </c>
      <c r="P315" t="s">
        <v>106</v>
      </c>
      <c r="Q315" t="s">
        <v>67</v>
      </c>
      <c r="R315" t="s">
        <v>68</v>
      </c>
    </row>
    <row r="316" spans="1:18" x14ac:dyDescent="0.25">
      <c r="A316" t="s">
        <v>489</v>
      </c>
      <c r="B316" t="s">
        <v>496</v>
      </c>
      <c r="C316" t="s">
        <v>497</v>
      </c>
      <c r="D316" s="1" t="s">
        <v>218</v>
      </c>
      <c r="E316">
        <v>49.7517</v>
      </c>
      <c r="F316">
        <v>8.1160999999999994</v>
      </c>
      <c r="G316" t="s">
        <v>22</v>
      </c>
      <c r="H316" t="s">
        <v>74</v>
      </c>
      <c r="I316" t="s">
        <v>242</v>
      </c>
      <c r="J316" t="s">
        <v>45</v>
      </c>
      <c r="K316">
        <v>20</v>
      </c>
      <c r="L316">
        <v>298</v>
      </c>
      <c r="M316">
        <v>5960</v>
      </c>
      <c r="N316" s="1" t="s">
        <v>85</v>
      </c>
      <c r="O316">
        <v>2017</v>
      </c>
      <c r="P316" t="s">
        <v>50</v>
      </c>
      <c r="Q316" t="s">
        <v>28</v>
      </c>
      <c r="R316" t="s">
        <v>29</v>
      </c>
    </row>
    <row r="317" spans="1:18" x14ac:dyDescent="0.25">
      <c r="A317" t="s">
        <v>489</v>
      </c>
      <c r="B317" t="s">
        <v>498</v>
      </c>
      <c r="C317" t="s">
        <v>499</v>
      </c>
      <c r="D317" s="1" t="s">
        <v>218</v>
      </c>
      <c r="E317">
        <v>49.681100000000001</v>
      </c>
      <c r="F317">
        <v>8.6227999999999998</v>
      </c>
      <c r="G317" t="s">
        <v>31</v>
      </c>
      <c r="H317" t="s">
        <v>32</v>
      </c>
      <c r="I317" t="s">
        <v>128</v>
      </c>
      <c r="J317" t="s">
        <v>80</v>
      </c>
      <c r="K317">
        <v>20</v>
      </c>
      <c r="L317">
        <v>692</v>
      </c>
      <c r="M317">
        <v>13840</v>
      </c>
      <c r="N317" s="1" t="s">
        <v>289</v>
      </c>
      <c r="O317">
        <v>2017</v>
      </c>
      <c r="P317" t="s">
        <v>77</v>
      </c>
      <c r="Q317" t="s">
        <v>56</v>
      </c>
      <c r="R317" t="s">
        <v>57</v>
      </c>
    </row>
    <row r="318" spans="1:18" x14ac:dyDescent="0.25">
      <c r="A318" t="s">
        <v>454</v>
      </c>
      <c r="B318" t="s">
        <v>500</v>
      </c>
      <c r="C318" t="s">
        <v>630</v>
      </c>
      <c r="D318" s="1" t="s">
        <v>218</v>
      </c>
      <c r="E318">
        <v>48.283299999999997</v>
      </c>
      <c r="F318">
        <v>11.566700000000001</v>
      </c>
      <c r="G318" t="s">
        <v>31</v>
      </c>
      <c r="H318" t="s">
        <v>32</v>
      </c>
      <c r="I318" t="s">
        <v>285</v>
      </c>
      <c r="J318" t="s">
        <v>34</v>
      </c>
      <c r="K318">
        <v>5</v>
      </c>
      <c r="L318">
        <v>773</v>
      </c>
      <c r="M318">
        <v>3865</v>
      </c>
      <c r="N318" s="1" t="s">
        <v>283</v>
      </c>
      <c r="O318">
        <v>2017</v>
      </c>
      <c r="P318" t="s">
        <v>27</v>
      </c>
      <c r="Q318" t="s">
        <v>28</v>
      </c>
      <c r="R318" t="s">
        <v>29</v>
      </c>
    </row>
    <row r="319" spans="1:18" x14ac:dyDescent="0.25">
      <c r="A319" t="s">
        <v>454</v>
      </c>
      <c r="B319" t="s">
        <v>501</v>
      </c>
      <c r="C319" t="s">
        <v>502</v>
      </c>
      <c r="D319" s="1" t="s">
        <v>218</v>
      </c>
      <c r="E319">
        <v>49.537999999999997</v>
      </c>
      <c r="F319">
        <v>8.5792000000000002</v>
      </c>
      <c r="G319" t="s">
        <v>31</v>
      </c>
      <c r="H319" t="s">
        <v>38</v>
      </c>
      <c r="I319" t="s">
        <v>503</v>
      </c>
      <c r="J319" t="s">
        <v>80</v>
      </c>
      <c r="K319">
        <v>2</v>
      </c>
      <c r="L319">
        <v>22</v>
      </c>
      <c r="M319">
        <v>44</v>
      </c>
      <c r="N319" s="1" t="s">
        <v>283</v>
      </c>
      <c r="O319">
        <v>2017</v>
      </c>
      <c r="P319" t="s">
        <v>95</v>
      </c>
      <c r="Q319" t="s">
        <v>67</v>
      </c>
      <c r="R319" t="s">
        <v>68</v>
      </c>
    </row>
    <row r="320" spans="1:18" x14ac:dyDescent="0.25">
      <c r="A320" t="s">
        <v>454</v>
      </c>
      <c r="B320" t="s">
        <v>504</v>
      </c>
      <c r="C320" t="s">
        <v>505</v>
      </c>
      <c r="D320" s="1" t="s">
        <v>218</v>
      </c>
      <c r="E320">
        <v>52.625599999999999</v>
      </c>
      <c r="F320">
        <v>10.0825</v>
      </c>
      <c r="G320" t="s">
        <v>31</v>
      </c>
      <c r="H320" t="s">
        <v>32</v>
      </c>
      <c r="I320" t="s">
        <v>411</v>
      </c>
      <c r="J320" t="s">
        <v>80</v>
      </c>
      <c r="K320">
        <v>500</v>
      </c>
      <c r="L320">
        <v>469</v>
      </c>
      <c r="M320">
        <v>234500</v>
      </c>
      <c r="N320" s="1" t="s">
        <v>283</v>
      </c>
      <c r="O320">
        <v>2017</v>
      </c>
      <c r="P320" t="s">
        <v>40</v>
      </c>
      <c r="Q320" t="s">
        <v>41</v>
      </c>
      <c r="R320" t="s">
        <v>42</v>
      </c>
    </row>
    <row r="321" spans="1:18" x14ac:dyDescent="0.25">
      <c r="A321" t="s">
        <v>454</v>
      </c>
      <c r="B321" t="s">
        <v>506</v>
      </c>
      <c r="C321" t="s">
        <v>507</v>
      </c>
      <c r="D321" s="1" t="s">
        <v>218</v>
      </c>
      <c r="E321">
        <v>51.867100000000001</v>
      </c>
      <c r="F321">
        <v>12.648400000000001</v>
      </c>
      <c r="G321" t="s">
        <v>22</v>
      </c>
      <c r="H321" t="s">
        <v>23</v>
      </c>
      <c r="I321" t="s">
        <v>330</v>
      </c>
      <c r="J321" t="s">
        <v>45</v>
      </c>
      <c r="K321">
        <v>5</v>
      </c>
      <c r="L321">
        <v>113</v>
      </c>
      <c r="M321">
        <v>565</v>
      </c>
      <c r="N321" s="1" t="s">
        <v>26</v>
      </c>
      <c r="O321">
        <v>2017</v>
      </c>
      <c r="P321" t="s">
        <v>71</v>
      </c>
      <c r="Q321" t="s">
        <v>41</v>
      </c>
      <c r="R321" t="s">
        <v>42</v>
      </c>
    </row>
    <row r="322" spans="1:18" x14ac:dyDescent="0.25">
      <c r="A322" t="s">
        <v>454</v>
      </c>
      <c r="B322" t="s">
        <v>508</v>
      </c>
      <c r="C322" t="s">
        <v>509</v>
      </c>
      <c r="D322" s="1" t="s">
        <v>218</v>
      </c>
      <c r="E322">
        <v>50.654699999999998</v>
      </c>
      <c r="F322">
        <v>12.1997</v>
      </c>
      <c r="G322" t="s">
        <v>22</v>
      </c>
      <c r="H322" t="s">
        <v>74</v>
      </c>
      <c r="I322" t="s">
        <v>111</v>
      </c>
      <c r="J322" t="s">
        <v>34</v>
      </c>
      <c r="K322">
        <v>4</v>
      </c>
      <c r="L322">
        <v>215</v>
      </c>
      <c r="M322">
        <v>860</v>
      </c>
      <c r="N322" s="1" t="s">
        <v>283</v>
      </c>
      <c r="O322">
        <v>2017</v>
      </c>
      <c r="P322" t="s">
        <v>81</v>
      </c>
      <c r="Q322" t="s">
        <v>41</v>
      </c>
      <c r="R322" t="s">
        <v>42</v>
      </c>
    </row>
    <row r="323" spans="1:18" x14ac:dyDescent="0.25">
      <c r="A323" t="s">
        <v>454</v>
      </c>
      <c r="B323" t="s">
        <v>510</v>
      </c>
      <c r="C323" t="s">
        <v>631</v>
      </c>
      <c r="D323" s="1" t="s">
        <v>218</v>
      </c>
      <c r="E323">
        <v>51.216700000000003</v>
      </c>
      <c r="F323">
        <v>10.45</v>
      </c>
      <c r="G323" t="s">
        <v>31</v>
      </c>
      <c r="H323" t="s">
        <v>32</v>
      </c>
      <c r="I323" t="s">
        <v>445</v>
      </c>
      <c r="J323" t="s">
        <v>25</v>
      </c>
      <c r="K323">
        <v>3</v>
      </c>
      <c r="L323">
        <v>682</v>
      </c>
      <c r="M323">
        <v>2046</v>
      </c>
      <c r="N323" s="1" t="s">
        <v>76</v>
      </c>
      <c r="O323">
        <v>2017</v>
      </c>
      <c r="P323" t="s">
        <v>66</v>
      </c>
      <c r="Q323" t="s">
        <v>67</v>
      </c>
      <c r="R323" t="s">
        <v>68</v>
      </c>
    </row>
    <row r="324" spans="1:18" x14ac:dyDescent="0.25">
      <c r="A324" t="s">
        <v>454</v>
      </c>
      <c r="B324" t="s">
        <v>511</v>
      </c>
      <c r="C324" t="s">
        <v>512</v>
      </c>
      <c r="D324" s="1" t="s">
        <v>218</v>
      </c>
      <c r="E324">
        <v>51.171399999999998</v>
      </c>
      <c r="F324">
        <v>6.9394</v>
      </c>
      <c r="G324" t="s">
        <v>31</v>
      </c>
      <c r="H324" t="s">
        <v>32</v>
      </c>
      <c r="I324" t="s">
        <v>370</v>
      </c>
      <c r="J324" t="s">
        <v>80</v>
      </c>
      <c r="K324">
        <v>10</v>
      </c>
      <c r="L324">
        <v>785</v>
      </c>
      <c r="M324">
        <v>7850</v>
      </c>
      <c r="N324" s="1" t="s">
        <v>49</v>
      </c>
      <c r="O324">
        <v>2017</v>
      </c>
      <c r="P324" t="s">
        <v>71</v>
      </c>
      <c r="Q324" t="s">
        <v>41</v>
      </c>
      <c r="R324" t="s">
        <v>42</v>
      </c>
    </row>
    <row r="325" spans="1:18" x14ac:dyDescent="0.25">
      <c r="A325" t="s">
        <v>454</v>
      </c>
      <c r="B325" t="s">
        <v>513</v>
      </c>
      <c r="C325" t="s">
        <v>632</v>
      </c>
      <c r="D325" s="1" t="s">
        <v>218</v>
      </c>
      <c r="E325">
        <v>49.989600000000003</v>
      </c>
      <c r="F325">
        <v>8.5661000000000005</v>
      </c>
      <c r="G325" t="s">
        <v>22</v>
      </c>
      <c r="H325" t="s">
        <v>23</v>
      </c>
      <c r="I325" t="s">
        <v>442</v>
      </c>
      <c r="J325" t="s">
        <v>45</v>
      </c>
      <c r="K325">
        <v>40</v>
      </c>
      <c r="L325">
        <v>323</v>
      </c>
      <c r="M325">
        <v>12920</v>
      </c>
      <c r="N325" s="1" t="s">
        <v>283</v>
      </c>
      <c r="O325">
        <v>2017</v>
      </c>
      <c r="P325" t="s">
        <v>77</v>
      </c>
      <c r="Q325" t="s">
        <v>56</v>
      </c>
      <c r="R325" t="s">
        <v>57</v>
      </c>
    </row>
    <row r="326" spans="1:18" x14ac:dyDescent="0.25">
      <c r="A326" t="s">
        <v>454</v>
      </c>
      <c r="B326" t="s">
        <v>514</v>
      </c>
      <c r="C326" t="s">
        <v>515</v>
      </c>
      <c r="D326" s="1" t="s">
        <v>218</v>
      </c>
      <c r="E326">
        <v>50.984999999999999</v>
      </c>
      <c r="F326">
        <v>12.433299999999999</v>
      </c>
      <c r="G326" t="s">
        <v>22</v>
      </c>
      <c r="H326" t="s">
        <v>74</v>
      </c>
      <c r="I326" t="s">
        <v>353</v>
      </c>
      <c r="J326" t="s">
        <v>34</v>
      </c>
      <c r="K326">
        <v>2</v>
      </c>
      <c r="L326">
        <v>664</v>
      </c>
      <c r="M326">
        <v>1328</v>
      </c>
      <c r="N326" s="1" t="s">
        <v>283</v>
      </c>
      <c r="O326">
        <v>2017</v>
      </c>
      <c r="P326" t="s">
        <v>60</v>
      </c>
      <c r="Q326" t="s">
        <v>28</v>
      </c>
      <c r="R326" t="s">
        <v>29</v>
      </c>
    </row>
    <row r="327" spans="1:18" x14ac:dyDescent="0.25">
      <c r="A327" t="s">
        <v>454</v>
      </c>
      <c r="B327" t="s">
        <v>516</v>
      </c>
      <c r="C327" t="s">
        <v>517</v>
      </c>
      <c r="D327" s="1" t="s">
        <v>218</v>
      </c>
      <c r="E327">
        <v>47.561100000000003</v>
      </c>
      <c r="F327">
        <v>7.7916999999999996</v>
      </c>
      <c r="G327" t="s">
        <v>22</v>
      </c>
      <c r="H327" t="s">
        <v>23</v>
      </c>
      <c r="I327" t="s">
        <v>518</v>
      </c>
      <c r="J327" t="s">
        <v>88</v>
      </c>
      <c r="K327">
        <v>5</v>
      </c>
      <c r="L327">
        <v>663</v>
      </c>
      <c r="M327">
        <v>3315</v>
      </c>
      <c r="N327" s="1" t="s">
        <v>283</v>
      </c>
      <c r="O327">
        <v>2017</v>
      </c>
      <c r="P327" t="s">
        <v>71</v>
      </c>
      <c r="Q327" t="s">
        <v>41</v>
      </c>
      <c r="R327" t="s">
        <v>42</v>
      </c>
    </row>
    <row r="328" spans="1:18" x14ac:dyDescent="0.25">
      <c r="A328" t="s">
        <v>454</v>
      </c>
      <c r="B328" t="s">
        <v>519</v>
      </c>
      <c r="C328" t="s">
        <v>520</v>
      </c>
      <c r="D328" s="1" t="s">
        <v>218</v>
      </c>
      <c r="E328">
        <v>48.933300000000003</v>
      </c>
      <c r="F328">
        <v>8.4</v>
      </c>
      <c r="G328" t="s">
        <v>22</v>
      </c>
      <c r="H328" t="s">
        <v>74</v>
      </c>
      <c r="I328" t="s">
        <v>521</v>
      </c>
      <c r="J328" t="s">
        <v>25</v>
      </c>
      <c r="K328">
        <v>5</v>
      </c>
      <c r="L328">
        <v>678</v>
      </c>
      <c r="M328">
        <v>3390</v>
      </c>
      <c r="N328" s="1" t="s">
        <v>156</v>
      </c>
      <c r="O328">
        <v>2017</v>
      </c>
      <c r="P328" t="s">
        <v>50</v>
      </c>
      <c r="Q328" t="s">
        <v>28</v>
      </c>
      <c r="R328" t="s">
        <v>29</v>
      </c>
    </row>
    <row r="329" spans="1:18" x14ac:dyDescent="0.25">
      <c r="A329" t="s">
        <v>454</v>
      </c>
      <c r="B329" t="s">
        <v>522</v>
      </c>
      <c r="C329" t="s">
        <v>633</v>
      </c>
      <c r="D329" s="1" t="s">
        <v>218</v>
      </c>
      <c r="E329">
        <v>51.219799999999999</v>
      </c>
      <c r="F329">
        <v>7.6273</v>
      </c>
      <c r="G329" t="s">
        <v>22</v>
      </c>
      <c r="H329" t="s">
        <v>23</v>
      </c>
      <c r="I329" t="s">
        <v>523</v>
      </c>
      <c r="J329" t="s">
        <v>117</v>
      </c>
      <c r="K329">
        <v>10</v>
      </c>
      <c r="L329">
        <v>459</v>
      </c>
      <c r="M329">
        <v>4590</v>
      </c>
      <c r="N329" s="1" t="s">
        <v>283</v>
      </c>
      <c r="O329">
        <v>2017</v>
      </c>
      <c r="P329" t="s">
        <v>50</v>
      </c>
      <c r="Q329" t="s">
        <v>28</v>
      </c>
      <c r="R329" t="s">
        <v>29</v>
      </c>
    </row>
    <row r="330" spans="1:18" x14ac:dyDescent="0.25">
      <c r="A330" t="s">
        <v>454</v>
      </c>
      <c r="B330" t="s">
        <v>524</v>
      </c>
      <c r="C330" t="s">
        <v>525</v>
      </c>
      <c r="D330" s="1" t="s">
        <v>218</v>
      </c>
      <c r="E330">
        <v>50.383299999999998</v>
      </c>
      <c r="F330">
        <v>8.0667000000000009</v>
      </c>
      <c r="G330" t="s">
        <v>31</v>
      </c>
      <c r="H330" t="s">
        <v>32</v>
      </c>
      <c r="I330" t="s">
        <v>431</v>
      </c>
      <c r="J330" t="s">
        <v>117</v>
      </c>
      <c r="K330">
        <v>3</v>
      </c>
      <c r="L330">
        <v>705</v>
      </c>
      <c r="M330">
        <v>2115</v>
      </c>
      <c r="N330" s="1" t="s">
        <v>283</v>
      </c>
      <c r="O330">
        <v>2017</v>
      </c>
      <c r="P330" t="s">
        <v>103</v>
      </c>
      <c r="Q330" t="s">
        <v>56</v>
      </c>
      <c r="R330" t="s">
        <v>57</v>
      </c>
    </row>
    <row r="331" spans="1:18" x14ac:dyDescent="0.25">
      <c r="A331" t="s">
        <v>454</v>
      </c>
      <c r="B331" t="s">
        <v>526</v>
      </c>
      <c r="C331" t="s">
        <v>527</v>
      </c>
      <c r="D331" s="1" t="s">
        <v>218</v>
      </c>
      <c r="E331">
        <v>51.526400000000002</v>
      </c>
      <c r="F331">
        <v>12.342499999999999</v>
      </c>
      <c r="G331" t="s">
        <v>31</v>
      </c>
      <c r="H331" t="s">
        <v>32</v>
      </c>
      <c r="I331" t="s">
        <v>313</v>
      </c>
      <c r="J331" t="s">
        <v>25</v>
      </c>
      <c r="K331">
        <v>20</v>
      </c>
      <c r="L331">
        <v>361</v>
      </c>
      <c r="M331">
        <v>7220</v>
      </c>
      <c r="N331" s="1" t="s">
        <v>124</v>
      </c>
      <c r="O331">
        <v>2017</v>
      </c>
      <c r="P331" t="s">
        <v>60</v>
      </c>
      <c r="Q331" t="s">
        <v>28</v>
      </c>
      <c r="R331" t="s">
        <v>29</v>
      </c>
    </row>
    <row r="332" spans="1:18" x14ac:dyDescent="0.25">
      <c r="A332" t="s">
        <v>454</v>
      </c>
      <c r="B332" t="s">
        <v>528</v>
      </c>
      <c r="C332" t="s">
        <v>529</v>
      </c>
      <c r="D332" s="1" t="s">
        <v>218</v>
      </c>
      <c r="E332">
        <v>53.25</v>
      </c>
      <c r="F332">
        <v>7.9166999999999996</v>
      </c>
      <c r="G332" t="s">
        <v>22</v>
      </c>
      <c r="H332" t="s">
        <v>74</v>
      </c>
      <c r="I332" t="s">
        <v>530</v>
      </c>
      <c r="J332" t="s">
        <v>34</v>
      </c>
      <c r="K332">
        <v>7</v>
      </c>
      <c r="L332">
        <v>549</v>
      </c>
      <c r="M332">
        <v>3843</v>
      </c>
      <c r="N332" s="1" t="s">
        <v>283</v>
      </c>
      <c r="O332">
        <v>2017</v>
      </c>
      <c r="P332" t="s">
        <v>81</v>
      </c>
      <c r="Q332" t="s">
        <v>41</v>
      </c>
      <c r="R332" t="s">
        <v>42</v>
      </c>
    </row>
    <row r="333" spans="1:18" x14ac:dyDescent="0.25">
      <c r="A333" t="s">
        <v>454</v>
      </c>
      <c r="B333" t="s">
        <v>531</v>
      </c>
      <c r="C333" t="s">
        <v>634</v>
      </c>
      <c r="D333" s="1" t="s">
        <v>218</v>
      </c>
      <c r="E333">
        <v>49.921399999999998</v>
      </c>
      <c r="F333">
        <v>8.4817999999999998</v>
      </c>
      <c r="G333" t="s">
        <v>22</v>
      </c>
      <c r="H333" t="s">
        <v>74</v>
      </c>
      <c r="I333" t="s">
        <v>187</v>
      </c>
      <c r="J333" t="s">
        <v>80</v>
      </c>
      <c r="K333">
        <v>2</v>
      </c>
      <c r="L333">
        <v>373</v>
      </c>
      <c r="M333">
        <v>746</v>
      </c>
      <c r="N333" s="1" t="s">
        <v>283</v>
      </c>
      <c r="O333">
        <v>2017</v>
      </c>
      <c r="P333" t="s">
        <v>106</v>
      </c>
      <c r="Q333" t="s">
        <v>67</v>
      </c>
      <c r="R333" t="s">
        <v>68</v>
      </c>
    </row>
    <row r="334" spans="1:18" x14ac:dyDescent="0.25">
      <c r="A334" t="s">
        <v>454</v>
      </c>
      <c r="B334" t="s">
        <v>532</v>
      </c>
      <c r="C334" t="s">
        <v>533</v>
      </c>
      <c r="D334" s="1" t="s">
        <v>218</v>
      </c>
      <c r="E334">
        <v>49.323599999999999</v>
      </c>
      <c r="F334">
        <v>12.099299999999999</v>
      </c>
      <c r="G334" t="s">
        <v>31</v>
      </c>
      <c r="H334" t="s">
        <v>32</v>
      </c>
      <c r="I334" t="s">
        <v>534</v>
      </c>
      <c r="J334" t="s">
        <v>88</v>
      </c>
      <c r="K334">
        <v>-45</v>
      </c>
      <c r="L334">
        <v>303</v>
      </c>
      <c r="M334">
        <v>-13635</v>
      </c>
      <c r="N334" s="1" t="s">
        <v>283</v>
      </c>
      <c r="O334">
        <v>2017</v>
      </c>
      <c r="P334" t="s">
        <v>55</v>
      </c>
      <c r="Q334" t="s">
        <v>56</v>
      </c>
      <c r="R334" t="s">
        <v>57</v>
      </c>
    </row>
    <row r="335" spans="1:18" x14ac:dyDescent="0.25">
      <c r="A335" t="s">
        <v>454</v>
      </c>
      <c r="B335" t="s">
        <v>535</v>
      </c>
      <c r="C335" t="s">
        <v>536</v>
      </c>
      <c r="D335" s="1" t="s">
        <v>218</v>
      </c>
      <c r="E335">
        <v>50.833300000000001</v>
      </c>
      <c r="F335">
        <v>12.916700000000001</v>
      </c>
      <c r="G335" t="s">
        <v>22</v>
      </c>
      <c r="H335" t="s">
        <v>74</v>
      </c>
      <c r="I335" t="s">
        <v>534</v>
      </c>
      <c r="J335" t="s">
        <v>88</v>
      </c>
      <c r="K335">
        <v>-72</v>
      </c>
      <c r="L335">
        <v>303</v>
      </c>
      <c r="M335">
        <v>-21816</v>
      </c>
      <c r="N335" s="1" t="s">
        <v>283</v>
      </c>
      <c r="O335">
        <v>2017</v>
      </c>
      <c r="P335" t="s">
        <v>66</v>
      </c>
      <c r="Q335" t="s">
        <v>67</v>
      </c>
      <c r="R335" t="s">
        <v>68</v>
      </c>
    </row>
    <row r="336" spans="1:18" x14ac:dyDescent="0.25">
      <c r="A336" t="s">
        <v>454</v>
      </c>
      <c r="B336" t="s">
        <v>537</v>
      </c>
      <c r="C336" t="s">
        <v>538</v>
      </c>
      <c r="D336" s="1" t="s">
        <v>218</v>
      </c>
      <c r="E336">
        <v>51.238599999999998</v>
      </c>
      <c r="F336">
        <v>12.725300000000001</v>
      </c>
      <c r="G336" t="s">
        <v>22</v>
      </c>
      <c r="H336" t="s">
        <v>23</v>
      </c>
      <c r="I336" t="s">
        <v>121</v>
      </c>
      <c r="J336" t="s">
        <v>117</v>
      </c>
      <c r="K336">
        <v>117</v>
      </c>
      <c r="L336">
        <v>511</v>
      </c>
      <c r="M336">
        <v>59787</v>
      </c>
      <c r="N336" s="1" t="s">
        <v>54</v>
      </c>
      <c r="O336">
        <v>2017</v>
      </c>
      <c r="P336" t="s">
        <v>66</v>
      </c>
      <c r="Q336" t="s">
        <v>67</v>
      </c>
      <c r="R336" t="s">
        <v>68</v>
      </c>
    </row>
    <row r="337" spans="1:18" x14ac:dyDescent="0.25">
      <c r="A337" t="s">
        <v>454</v>
      </c>
      <c r="B337" t="s">
        <v>539</v>
      </c>
      <c r="C337" t="s">
        <v>540</v>
      </c>
      <c r="D337" s="1" t="s">
        <v>218</v>
      </c>
      <c r="E337">
        <v>48.8</v>
      </c>
      <c r="F337">
        <v>9.5333000000000006</v>
      </c>
      <c r="G337" t="s">
        <v>31</v>
      </c>
      <c r="H337" t="s">
        <v>38</v>
      </c>
      <c r="I337" t="s">
        <v>196</v>
      </c>
      <c r="J337" t="s">
        <v>80</v>
      </c>
      <c r="K337">
        <v>3</v>
      </c>
      <c r="L337">
        <v>26</v>
      </c>
      <c r="M337">
        <v>78</v>
      </c>
      <c r="N337" s="1" t="s">
        <v>283</v>
      </c>
      <c r="O337">
        <v>2017</v>
      </c>
      <c r="P337" t="s">
        <v>60</v>
      </c>
      <c r="Q337" t="s">
        <v>28</v>
      </c>
      <c r="R337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EEA8B8-4697-4880-A784-515033C36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 Table</vt:lpstr>
      <vt:lpstr>Cleaned 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Ponmile</dc:creator>
  <cp:lastModifiedBy>Ponmile</cp:lastModifiedBy>
  <dcterms:created xsi:type="dcterms:W3CDTF">2026-03-06T11:28:44Z</dcterms:created>
  <dcterms:modified xsi:type="dcterms:W3CDTF">2026-03-07T13:25:13Z</dcterms:modified>
</cp:coreProperties>
</file>